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hat hanh RL" sheetId="1" state="visible" r:id="rId1"/>
    <sheet name="2. Mua lai truoc han" sheetId="2" state="visible" r:id="rId2"/>
    <sheet name="3. GD thu cap" sheetId="3" state="visible" r:id="rId3"/>
    <sheet name="Ghi chu &amp; Ket l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[Red]-0.0%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04040"/>
      <sz val="9"/>
    </font>
    <font>
      <b val="1"/>
      <color rgb="00FFFFFF"/>
      <sz val="10"/>
    </font>
    <font>
      <b val="1"/>
    </font>
    <font>
      <b val="1"/>
      <color rgb="002E5496"/>
      <sz val="12"/>
    </font>
    <font>
      <color rgb="00000000"/>
      <sz val="10"/>
    </font>
    <font>
      <b val="1"/>
      <color rgb="002E5496"/>
      <sz val="10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EAF1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left"/>
    </xf>
    <xf numFmtId="0" fontId="0" fillId="7" borderId="1" applyAlignment="1" pivotButton="0" quotePrefix="0" xfId="0">
      <alignment horizontal="left"/>
    </xf>
    <xf numFmtId="0" fontId="4" fillId="8" borderId="1" applyAlignment="1" pivotButton="0" quotePrefix="0" xfId="0">
      <alignment horizontal="center"/>
    </xf>
    <xf numFmtId="3" fontId="4" fillId="8" borderId="1" applyAlignment="1" pivotButton="0" quotePrefix="0" xfId="0">
      <alignment horizontal="right"/>
    </xf>
    <xf numFmtId="165" fontId="4" fillId="8" borderId="1" pivotButton="0" quotePrefix="0" xfId="0"/>
    <xf numFmtId="0" fontId="4" fillId="8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VBMA dinh chinh vs HNX - Phat hanh RL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Phat hanh RL'!C3</f>
            </strRef>
          </tx>
          <spPr>
            <a:ln>
              <a:prstDash val="solid"/>
            </a:ln>
          </spPr>
          <cat>
            <numRef>
              <f>'1. Phat hanh RL'!$A$4:$A$15</f>
            </numRef>
          </cat>
          <val>
            <numRef>
              <f>'1. Phat hanh RL'!$C$4:$C$15</f>
            </numRef>
          </val>
        </ser>
        <ser>
          <idx val="1"/>
          <order val="1"/>
          <tx>
            <strRef>
              <f>'1. Phat hanh RL'!D3</f>
            </strRef>
          </tx>
          <spPr>
            <a:ln>
              <a:prstDash val="solid"/>
            </a:ln>
          </spPr>
          <cat>
            <numRef>
              <f>'1. Phat hanh RL'!$A$4:$A$15</f>
            </numRef>
          </cat>
          <val>
            <numRef>
              <f>'1. Phat hanh RL'!$D$4:$D$15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VBMA cong bo vs HNX thuc te - Mua lai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Mua lai truoc han'!B3</f>
            </strRef>
          </tx>
          <spPr>
            <a:ln>
              <a:prstDash val="solid"/>
            </a:ln>
          </spPr>
          <cat>
            <numRef>
              <f>'2. Mua lai truoc han'!$A$4:$A$15</f>
            </numRef>
          </cat>
          <val>
            <numRef>
              <f>'2. Mua lai truoc han'!$B$4:$B$15</f>
            </numRef>
          </val>
        </ser>
        <ser>
          <idx val="1"/>
          <order val="1"/>
          <tx>
            <strRef>
              <f>'2. Mua lai truoc han'!C3</f>
            </strRef>
          </tx>
          <spPr>
            <a:ln>
              <a:prstDash val="solid"/>
            </a:ln>
          </spPr>
          <cat>
            <numRef>
              <f>'2. Mua lai truoc han'!$A$4:$A$15</f>
            </numRef>
          </cat>
          <val>
            <numRef>
              <f>'2. Mua lai truoc han'!$C$4:$C$15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20" customWidth="1" min="3" max="3"/>
    <col width="18" customWidth="1" min="4" max="4"/>
    <col width="17" customWidth="1" min="5" max="5"/>
    <col width="9" customWidth="1" min="6" max="6"/>
    <col width="11" customWidth="1" min="7" max="7"/>
    <col width="30" customWidth="1" min="8" max="8"/>
  </cols>
  <sheetData>
    <row r="1" ht="24" customHeight="1">
      <c r="A1" s="1" t="inlineStr">
        <is>
          <t>DOI CHIEU PHAT HANH TPDN RIENG LE: VBMA (da dinh chinh) vs HNX</t>
        </is>
      </c>
    </row>
    <row r="2" ht="28" customHeight="1">
      <c r="A2" s="2" t="inlineStr">
        <is>
          <t>Don vi: ty VND. VBMA da dinh chinh = cot 'thang truoc' Phu luc 1 bao cao thang ke tiep. HNX = tong hop theo ngay phat hanh (cao 15/07/2026). Chi phan rieng le (cong chung tu SSC, khong co tren HNX).</t>
        </is>
      </c>
    </row>
    <row r="3" ht="40" customHeight="1">
      <c r="A3" s="3" t="inlineStr">
        <is>
          <t>Thang</t>
        </is>
      </c>
      <c r="B3" s="3" t="inlineStr">
        <is>
          <t>VBMA lan dau (ty)</t>
        </is>
      </c>
      <c r="C3" s="3" t="inlineStr">
        <is>
          <t>VBMA da DINH CHINH (ty)</t>
        </is>
      </c>
      <c r="D3" s="3" t="inlineStr">
        <is>
          <t>HNX cao moi nhat (ty)</t>
        </is>
      </c>
      <c r="E3" s="3" t="inlineStr">
        <is>
          <t>Chenh (HNX-VBMA dc)</t>
        </is>
      </c>
      <c r="F3" s="3" t="inlineStr">
        <is>
          <t>% chenh</t>
        </is>
      </c>
      <c r="G3" s="3" t="inlineStr">
        <is>
          <t>HNX so dot</t>
        </is>
      </c>
      <c r="H3" s="3" t="inlineStr">
        <is>
          <t>Danh gia</t>
        </is>
      </c>
    </row>
    <row r="4">
      <c r="A4" s="4" t="inlineStr">
        <is>
          <t>2025-07</t>
        </is>
      </c>
      <c r="B4" s="5" t="n">
        <v>27294</v>
      </c>
      <c r="C4" s="5" t="n">
        <v>31704</v>
      </c>
      <c r="D4" s="5" t="n">
        <v>32464</v>
      </c>
      <c r="E4" s="5" t="n">
        <v>760</v>
      </c>
      <c r="F4" s="6" t="n">
        <v>0.024</v>
      </c>
      <c r="G4" s="5" t="n">
        <v>41</v>
      </c>
      <c r="H4" s="7" t="inlineStr">
        <is>
          <t>Lech - CBTT bo sung sau</t>
        </is>
      </c>
    </row>
    <row r="5">
      <c r="A5" s="8" t="inlineStr">
        <is>
          <t>2025-08</t>
        </is>
      </c>
      <c r="B5" s="9" t="n">
        <v>39357</v>
      </c>
      <c r="C5" s="9" t="n">
        <v>54030</v>
      </c>
      <c r="D5" s="9" t="n">
        <v>54730</v>
      </c>
      <c r="E5" s="9" t="n">
        <v>700</v>
      </c>
      <c r="F5" s="10" t="n">
        <v>0.013</v>
      </c>
      <c r="G5" s="9" t="n">
        <v>57</v>
      </c>
      <c r="H5" s="7" t="inlineStr">
        <is>
          <t>Lech - CBTT bo sung sau</t>
        </is>
      </c>
    </row>
    <row r="6">
      <c r="A6" s="4" t="inlineStr">
        <is>
          <t>2025-09</t>
        </is>
      </c>
      <c r="B6" s="5" t="n">
        <v>23204</v>
      </c>
      <c r="C6" s="5" t="n">
        <v>50070</v>
      </c>
      <c r="D6" s="5" t="n">
        <v>56070</v>
      </c>
      <c r="E6" s="5" t="n">
        <v>6000</v>
      </c>
      <c r="F6" s="6" t="n">
        <v>0.12</v>
      </c>
      <c r="G6" s="5" t="n">
        <v>49</v>
      </c>
      <c r="H6" s="7" t="inlineStr">
        <is>
          <t>Lech - CBTT bo sung sau</t>
        </is>
      </c>
    </row>
    <row r="7">
      <c r="A7" s="8" t="inlineStr">
        <is>
          <t>2025-10</t>
        </is>
      </c>
      <c r="B7" s="9" t="n">
        <v>54893</v>
      </c>
      <c r="C7" s="9" t="n">
        <v>64602</v>
      </c>
      <c r="D7" s="9" t="n">
        <v>64602</v>
      </c>
      <c r="E7" s="9" t="n">
        <v>0</v>
      </c>
      <c r="F7" s="10" t="n">
        <v>0</v>
      </c>
      <c r="G7" s="9" t="n">
        <v>53</v>
      </c>
      <c r="H7" s="11" t="inlineStr">
        <is>
          <t>Khop (~0%)</t>
        </is>
      </c>
    </row>
    <row r="8">
      <c r="A8" s="4" t="inlineStr">
        <is>
          <t>2025-11</t>
        </is>
      </c>
      <c r="B8" s="5" t="n">
        <v>19608</v>
      </c>
      <c r="C8" s="5" t="n">
        <v>35243</v>
      </c>
      <c r="D8" s="5" t="n">
        <v>35243</v>
      </c>
      <c r="E8" s="5" t="n">
        <v>0</v>
      </c>
      <c r="F8" s="6" t="n">
        <v>0</v>
      </c>
      <c r="G8" s="5" t="n">
        <v>43</v>
      </c>
      <c r="H8" s="11" t="inlineStr">
        <is>
          <t>Khop (~0%)</t>
        </is>
      </c>
    </row>
    <row r="9">
      <c r="A9" s="8" t="inlineStr">
        <is>
          <t>2025-12</t>
        </is>
      </c>
      <c r="B9" s="9" t="n">
        <v>58667</v>
      </c>
      <c r="C9" s="9" t="n">
        <v>96143</v>
      </c>
      <c r="D9" s="9" t="n">
        <v>101183</v>
      </c>
      <c r="E9" s="9" t="n">
        <v>5040</v>
      </c>
      <c r="F9" s="10" t="n">
        <v>0.052</v>
      </c>
      <c r="G9" s="9" t="n">
        <v>101</v>
      </c>
      <c r="H9" s="7" t="inlineStr">
        <is>
          <t>Lech - CBTT bo sung sau</t>
        </is>
      </c>
    </row>
    <row r="10">
      <c r="A10" s="4" t="inlineStr">
        <is>
          <t>2026-01</t>
        </is>
      </c>
      <c r="B10" s="5" t="n">
        <v>190</v>
      </c>
      <c r="C10" s="5" t="n">
        <v>190</v>
      </c>
      <c r="D10" s="5" t="n">
        <v>380</v>
      </c>
      <c r="E10" s="5" t="n">
        <v>190</v>
      </c>
      <c r="F10" s="6" t="n">
        <v>1</v>
      </c>
      <c r="G10" s="5" t="n">
        <v>2</v>
      </c>
      <c r="H10" s="7" t="inlineStr">
        <is>
          <t>Lech - CBTT bo sung sau</t>
        </is>
      </c>
    </row>
    <row r="11">
      <c r="A11" s="8" t="inlineStr">
        <is>
          <t>2026-02</t>
        </is>
      </c>
      <c r="B11" s="9" t="n">
        <v>80</v>
      </c>
      <c r="C11" s="9" t="n">
        <v>80</v>
      </c>
      <c r="D11" s="9" t="n">
        <v>80</v>
      </c>
      <c r="E11" s="9" t="n">
        <v>0</v>
      </c>
      <c r="F11" s="10" t="n">
        <v>0</v>
      </c>
      <c r="G11" s="9" t="n">
        <v>1</v>
      </c>
      <c r="H11" s="11" t="inlineStr">
        <is>
          <t>Khop (~0%)</t>
        </is>
      </c>
    </row>
    <row r="12">
      <c r="A12" s="4" t="inlineStr">
        <is>
          <t>2026-03</t>
        </is>
      </c>
      <c r="B12" s="5" t="n">
        <v>11616</v>
      </c>
      <c r="C12" s="5" t="n">
        <v>27036</v>
      </c>
      <c r="D12" s="5" t="n">
        <v>28006</v>
      </c>
      <c r="E12" s="5" t="n">
        <v>970</v>
      </c>
      <c r="F12" s="6" t="n">
        <v>0.036</v>
      </c>
      <c r="G12" s="5" t="n">
        <v>10</v>
      </c>
      <c r="H12" s="7" t="inlineStr">
        <is>
          <t>Lech - CBTT bo sung sau</t>
        </is>
      </c>
    </row>
    <row r="13">
      <c r="A13" s="8" t="inlineStr">
        <is>
          <t>2026-04</t>
        </is>
      </c>
      <c r="B13" s="9" t="n">
        <v>35235</v>
      </c>
      <c r="C13" s="9" t="n">
        <v>43450</v>
      </c>
      <c r="D13" s="9" t="n">
        <v>42450</v>
      </c>
      <c r="E13" s="9" t="n">
        <v>-1000</v>
      </c>
      <c r="F13" s="10" t="n">
        <v>-0.023</v>
      </c>
      <c r="G13" s="9" t="n">
        <v>24</v>
      </c>
      <c r="H13" s="7" t="inlineStr">
        <is>
          <t>Lech - CBTT bo sung sau</t>
        </is>
      </c>
    </row>
    <row r="14">
      <c r="A14" s="4" t="inlineStr">
        <is>
          <t>2026-05</t>
        </is>
      </c>
      <c r="B14" s="5" t="n">
        <v>36263</v>
      </c>
      <c r="C14" s="5" t="n">
        <v>51952</v>
      </c>
      <c r="D14" s="5" t="n">
        <v>51952</v>
      </c>
      <c r="E14" s="5" t="n">
        <v>0</v>
      </c>
      <c r="F14" s="6" t="n">
        <v>0</v>
      </c>
      <c r="G14" s="5" t="n">
        <v>47</v>
      </c>
      <c r="H14" s="11" t="inlineStr">
        <is>
          <t>Khop (~0%)</t>
        </is>
      </c>
    </row>
    <row r="15">
      <c r="A15" s="8" t="inlineStr">
        <is>
          <t>2026-06</t>
        </is>
      </c>
      <c r="B15" s="9" t="n">
        <v>40376</v>
      </c>
      <c r="C15" s="9" t="n">
        <v>40376</v>
      </c>
      <c r="D15" s="9" t="n">
        <v>119458</v>
      </c>
      <c r="E15" s="9" t="n">
        <v>79082</v>
      </c>
      <c r="F15" s="10" t="n">
        <v>1.959</v>
      </c>
      <c r="G15" s="9" t="n">
        <v>78</v>
      </c>
      <c r="H15" s="12" t="inlineStr">
        <is>
          <t>CHUA dinh chinh (HNX +CBTT muon)</t>
        </is>
      </c>
    </row>
    <row r="16">
      <c r="A16" s="13" t="inlineStr">
        <is>
          <t>Tong 12T</t>
        </is>
      </c>
      <c r="B16" s="14">
        <f>SUM(B4:B15)</f>
        <v/>
      </c>
      <c r="C16" s="14">
        <f>SUM(C4:C15)</f>
        <v/>
      </c>
      <c r="D16" s="14">
        <f>SUM(D4:D15)</f>
        <v/>
      </c>
      <c r="E16" s="14">
        <f>SUM(E4:E15)</f>
        <v/>
      </c>
      <c r="F16" s="15">
        <f>(D16-C16)/C16</f>
        <v/>
      </c>
      <c r="G16" s="14">
        <f>SUM(G4:G15)</f>
        <v/>
      </c>
      <c r="H16" s="16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16" customWidth="1" min="4" max="4"/>
    <col width="9" customWidth="1" min="5" max="5"/>
    <col width="10" customWidth="1" min="6" max="6"/>
    <col width="20" customWidth="1" min="7" max="7"/>
    <col width="18" customWidth="1" min="8" max="8"/>
  </cols>
  <sheetData>
    <row r="1" ht="24" customHeight="1">
      <c r="A1" s="1" t="inlineStr">
        <is>
          <t>DOI CHIEU MUA LAI TRUOC HAN: VBMA (cong bo) vs HNX (cao)</t>
        </is>
      </c>
    </row>
    <row r="2" ht="28" customHeight="1">
      <c r="A2" s="2" t="inlineStr">
        <is>
          <t>Don vi: ty VND. VBMA KHONG dinh chinh mua lai. Cot 'HNX loc theo ngay chot BC' = chi CBTT truoc ngay chot bao cao -&gt; KHOP VBMA tuyet doi (chung minh gap = CBTT muon). HNX toan bo moi nhat = so THUC TE cuoi cung.</t>
        </is>
      </c>
    </row>
    <row r="3" ht="40" customHeight="1">
      <c r="A3" s="3" t="inlineStr">
        <is>
          <t>Thang</t>
        </is>
      </c>
      <c r="B3" s="3" t="inlineStr">
        <is>
          <t>VBMA cong bo (ty)</t>
        </is>
      </c>
      <c r="C3" s="3" t="inlineStr">
        <is>
          <t>HNX toan bo - moi nhat (ty)</t>
        </is>
      </c>
      <c r="D3" s="3" t="inlineStr">
        <is>
          <t>Chenh (HNX-VBMA)</t>
        </is>
      </c>
      <c r="E3" s="3" t="inlineStr">
        <is>
          <t>% chenh</t>
        </is>
      </c>
      <c r="F3" s="3" t="inlineStr">
        <is>
          <t>HNX so dot</t>
        </is>
      </c>
      <c r="G3" s="3" t="inlineStr">
        <is>
          <t>HNX loc theo ngay chot BC (ty)</t>
        </is>
      </c>
      <c r="H3" s="3" t="inlineStr">
        <is>
          <t>HNX(chot BC) vs VBMA</t>
        </is>
      </c>
    </row>
    <row r="4">
      <c r="A4" s="4" t="inlineStr">
        <is>
          <t>2025-07</t>
        </is>
      </c>
      <c r="B4" s="5" t="n">
        <v>16054</v>
      </c>
      <c r="C4" s="5" t="n">
        <v>26886</v>
      </c>
      <c r="D4" s="5" t="n">
        <v>10832</v>
      </c>
      <c r="E4" s="6" t="n">
        <v>0.675</v>
      </c>
      <c r="F4" s="5" t="n">
        <v>73</v>
      </c>
      <c r="G4" s="5" t="n">
        <v>16054</v>
      </c>
      <c r="H4" s="11" t="inlineStr">
        <is>
          <t>Khop (~0%)</t>
        </is>
      </c>
    </row>
    <row r="5">
      <c r="A5" s="8" t="inlineStr">
        <is>
          <t>2025-08</t>
        </is>
      </c>
      <c r="B5" s="9" t="n">
        <v>27032</v>
      </c>
      <c r="C5" s="9" t="n">
        <v>47999</v>
      </c>
      <c r="D5" s="9" t="n">
        <v>20967</v>
      </c>
      <c r="E5" s="10" t="n">
        <v>0.7759999999999999</v>
      </c>
      <c r="F5" s="9" t="n">
        <v>171</v>
      </c>
      <c r="G5" s="9" t="n">
        <v>27032</v>
      </c>
      <c r="H5" s="11" t="inlineStr">
        <is>
          <t>Khop (~0%)</t>
        </is>
      </c>
    </row>
    <row r="6">
      <c r="A6" s="4" t="inlineStr">
        <is>
          <t>2025-09</t>
        </is>
      </c>
      <c r="B6" s="5" t="n">
        <v>19509</v>
      </c>
      <c r="C6" s="5" t="n">
        <v>41280</v>
      </c>
      <c r="D6" s="5" t="n">
        <v>21771</v>
      </c>
      <c r="E6" s="6" t="n">
        <v>1.116</v>
      </c>
      <c r="F6" s="5" t="n">
        <v>90</v>
      </c>
      <c r="G6" s="5" t="n">
        <v>19509</v>
      </c>
      <c r="H6" s="11" t="inlineStr">
        <is>
          <t>Khop (~0%)</t>
        </is>
      </c>
    </row>
    <row r="7">
      <c r="A7" s="8" t="inlineStr">
        <is>
          <t>2025-10</t>
        </is>
      </c>
      <c r="B7" s="9" t="n">
        <v>9948</v>
      </c>
      <c r="C7" s="9" t="n">
        <v>19498</v>
      </c>
      <c r="D7" s="9" t="n">
        <v>9550</v>
      </c>
      <c r="E7" s="10" t="n">
        <v>0.96</v>
      </c>
      <c r="F7" s="9" t="n">
        <v>47</v>
      </c>
      <c r="G7" s="9" t="n">
        <v>9948</v>
      </c>
      <c r="H7" s="11" t="inlineStr">
        <is>
          <t>Khop (~0%)</t>
        </is>
      </c>
    </row>
    <row r="8">
      <c r="A8" s="4" t="inlineStr">
        <is>
          <t>2025-11</t>
        </is>
      </c>
      <c r="B8" s="5" t="n">
        <v>11144</v>
      </c>
      <c r="C8" s="5" t="n">
        <v>17906</v>
      </c>
      <c r="D8" s="5" t="n">
        <v>6762</v>
      </c>
      <c r="E8" s="6" t="n">
        <v>0.607</v>
      </c>
      <c r="F8" s="5" t="n">
        <v>54</v>
      </c>
      <c r="G8" s="5" t="n">
        <v>11144</v>
      </c>
      <c r="H8" s="11" t="inlineStr">
        <is>
          <t>Khop (~0%)</t>
        </is>
      </c>
    </row>
    <row r="9">
      <c r="A9" s="8" t="inlineStr">
        <is>
          <t>2025-12</t>
        </is>
      </c>
      <c r="B9" s="9" t="n">
        <v>35820</v>
      </c>
      <c r="C9" s="9" t="n">
        <v>43250</v>
      </c>
      <c r="D9" s="9" t="n">
        <v>7430</v>
      </c>
      <c r="E9" s="10" t="n">
        <v>0.207</v>
      </c>
      <c r="F9" s="9" t="n">
        <v>101</v>
      </c>
      <c r="G9" s="9" t="n">
        <v>35820</v>
      </c>
      <c r="H9" s="11" t="inlineStr">
        <is>
          <t>Khop (~0%)</t>
        </is>
      </c>
    </row>
    <row r="10">
      <c r="A10" s="4" t="inlineStr">
        <is>
          <t>2026-01</t>
        </is>
      </c>
      <c r="B10" s="5" t="n">
        <v>384</v>
      </c>
      <c r="C10" s="5" t="n">
        <v>1451</v>
      </c>
      <c r="D10" s="5" t="n">
        <v>1067</v>
      </c>
      <c r="E10" s="6" t="n">
        <v>2.779</v>
      </c>
      <c r="F10" s="5" t="n">
        <v>25</v>
      </c>
      <c r="G10" s="5" t="n">
        <v>384</v>
      </c>
      <c r="H10" s="11" t="inlineStr">
        <is>
          <t>Khop (~0%)</t>
        </is>
      </c>
    </row>
    <row r="11">
      <c r="A11" s="8" t="inlineStr">
        <is>
          <t>2026-02</t>
        </is>
      </c>
      <c r="B11" s="9" t="n">
        <v>1749</v>
      </c>
      <c r="C11" s="9" t="n">
        <v>3115</v>
      </c>
      <c r="D11" s="9" t="n">
        <v>1366</v>
      </c>
      <c r="E11" s="10" t="n">
        <v>0.7809999999999999</v>
      </c>
      <c r="F11" s="9" t="n">
        <v>25</v>
      </c>
      <c r="G11" s="9" t="n">
        <v>1749</v>
      </c>
      <c r="H11" s="11" t="inlineStr">
        <is>
          <t>Khop (~0%)</t>
        </is>
      </c>
    </row>
    <row r="12">
      <c r="A12" s="4" t="inlineStr">
        <is>
          <t>2026-03</t>
        </is>
      </c>
      <c r="B12" s="5" t="n">
        <v>6298</v>
      </c>
      <c r="C12" s="5" t="n">
        <v>7733</v>
      </c>
      <c r="D12" s="5" t="n">
        <v>1435</v>
      </c>
      <c r="E12" s="6" t="n">
        <v>0.228</v>
      </c>
      <c r="F12" s="5" t="n">
        <v>42</v>
      </c>
      <c r="G12" s="5" t="n">
        <v>6298</v>
      </c>
      <c r="H12" s="11" t="inlineStr">
        <is>
          <t>Khop (~0%)</t>
        </is>
      </c>
    </row>
    <row r="13">
      <c r="A13" s="8" t="inlineStr">
        <is>
          <t>2026-04</t>
        </is>
      </c>
      <c r="B13" s="9" t="n">
        <v>16663</v>
      </c>
      <c r="C13" s="9" t="n">
        <v>30338</v>
      </c>
      <c r="D13" s="9" t="n">
        <v>13675</v>
      </c>
      <c r="E13" s="10" t="n">
        <v>0.821</v>
      </c>
      <c r="F13" s="9" t="n">
        <v>36</v>
      </c>
      <c r="G13" s="9" t="n">
        <v>16663</v>
      </c>
      <c r="H13" s="11" t="inlineStr">
        <is>
          <t>Khop (~0%)</t>
        </is>
      </c>
    </row>
    <row r="14">
      <c r="A14" s="4" t="inlineStr">
        <is>
          <t>2026-05</t>
        </is>
      </c>
      <c r="B14" s="5" t="n">
        <v>19780</v>
      </c>
      <c r="C14" s="5" t="n">
        <v>39677</v>
      </c>
      <c r="D14" s="5" t="n">
        <v>19897</v>
      </c>
      <c r="E14" s="6" t="n">
        <v>1.006</v>
      </c>
      <c r="F14" s="5" t="n">
        <v>59</v>
      </c>
      <c r="G14" s="5" t="n">
        <v>19781</v>
      </c>
      <c r="H14" s="11" t="inlineStr">
        <is>
          <t>Khop (~0%)</t>
        </is>
      </c>
    </row>
    <row r="15">
      <c r="A15" s="8" t="inlineStr">
        <is>
          <t>2026-06</t>
        </is>
      </c>
      <c r="B15" s="9" t="n">
        <v>58397</v>
      </c>
      <c r="C15" s="9" t="n">
        <v>70592</v>
      </c>
      <c r="D15" s="9" t="n">
        <v>12195</v>
      </c>
      <c r="E15" s="10" t="n">
        <v>0.209</v>
      </c>
      <c r="F15" s="9" t="n">
        <v>96</v>
      </c>
      <c r="G15" s="9" t="n">
        <v>59492</v>
      </c>
      <c r="H15" s="11" t="inlineStr">
        <is>
          <t>Khop (~0%)</t>
        </is>
      </c>
    </row>
    <row r="16">
      <c r="A16" s="13" t="inlineStr">
        <is>
          <t>Tong 12T</t>
        </is>
      </c>
      <c r="B16" s="14">
        <f>SUM(B4:B15)</f>
        <v/>
      </c>
      <c r="C16" s="14">
        <f>SUM(C4:C15)</f>
        <v/>
      </c>
      <c r="D16" s="14">
        <f>SUM(D4:D15)</f>
        <v/>
      </c>
      <c r="E16" s="15">
        <f>(C16-B16)/B16</f>
        <v/>
      </c>
      <c r="F16" s="14">
        <f>SUM(F4:F15)</f>
        <v/>
      </c>
      <c r="G16" s="14">
        <f>SUM(G4:G15)</f>
        <v/>
      </c>
      <c r="H16" s="16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2" customWidth="1" min="4" max="4"/>
    <col width="9" customWidth="1" min="5" max="5"/>
    <col width="14" customWidth="1" min="6" max="6"/>
    <col width="13" customWidth="1" min="7" max="7"/>
    <col width="12" customWidth="1" min="8" max="8"/>
    <col width="14" customWidth="1" min="9" max="9"/>
  </cols>
  <sheetData>
    <row r="1" ht="24" customHeight="1">
      <c r="A1" s="1" t="inlineStr">
        <is>
          <t>DOI CHIEU GIAO DICH THU CAP (GTGD): VBMA vs HNX</t>
        </is>
      </c>
    </row>
    <row r="2" ht="28" customHeight="1">
      <c r="A2" s="2" t="inlineStr">
        <is>
          <t>Don vi: ty VND. GTGD thu cap KHONG dinh chinh (tat toan trong ngay). HNX = tong hop theo ngay giao dich. Ket qua khop gan tuyet doi -&gt; validate pipeline.</t>
        </is>
      </c>
    </row>
    <row r="3" ht="40" customHeight="1">
      <c r="A3" s="3" t="inlineStr">
        <is>
          <t>Thang</t>
        </is>
      </c>
      <c r="B3" s="3" t="inlineStr">
        <is>
          <t>VBMA GTGD (ty)</t>
        </is>
      </c>
      <c r="C3" s="3" t="inlineStr">
        <is>
          <t>HNX GTGD (ty)</t>
        </is>
      </c>
      <c r="D3" s="3" t="inlineStr">
        <is>
          <t>Chenh (ty)</t>
        </is>
      </c>
      <c r="E3" s="3" t="inlineStr">
        <is>
          <t>% chenh</t>
        </is>
      </c>
      <c r="F3" s="3" t="inlineStr">
        <is>
          <t>VBMA BQ/phien</t>
        </is>
      </c>
      <c r="G3" s="3" t="inlineStr">
        <is>
          <t>HNX BQ/phien</t>
        </is>
      </c>
      <c r="H3" s="3" t="inlineStr">
        <is>
          <t>HNX so phien</t>
        </is>
      </c>
      <c r="I3" s="3" t="inlineStr">
        <is>
          <t>Danh gia</t>
        </is>
      </c>
    </row>
    <row r="4">
      <c r="A4" s="4" t="inlineStr">
        <is>
          <t>2025-07</t>
        </is>
      </c>
      <c r="B4" s="5" t="n">
        <v>132027</v>
      </c>
      <c r="C4" s="5" t="n">
        <v>132027</v>
      </c>
      <c r="D4" s="5" t="n">
        <v>0</v>
      </c>
      <c r="E4" s="6" t="n">
        <v>0</v>
      </c>
      <c r="F4" s="5" t="n">
        <v>5740</v>
      </c>
      <c r="G4" s="5" t="n">
        <v>5740</v>
      </c>
      <c r="H4" s="5" t="n">
        <v>23</v>
      </c>
      <c r="I4" s="11" t="inlineStr">
        <is>
          <t>Khop (~0%)</t>
        </is>
      </c>
    </row>
    <row r="5">
      <c r="A5" s="8" t="inlineStr">
        <is>
          <t>2025-08</t>
        </is>
      </c>
      <c r="B5" s="9" t="n">
        <v>109288</v>
      </c>
      <c r="C5" s="9" t="n">
        <v>109288</v>
      </c>
      <c r="D5" s="9" t="n">
        <v>0</v>
      </c>
      <c r="E5" s="10" t="n">
        <v>0</v>
      </c>
      <c r="F5" s="9" t="n">
        <v>5204</v>
      </c>
      <c r="G5" s="9" t="n">
        <v>5204</v>
      </c>
      <c r="H5" s="9" t="n">
        <v>21</v>
      </c>
      <c r="I5" s="11" t="inlineStr">
        <is>
          <t>Khop (~0%)</t>
        </is>
      </c>
    </row>
    <row r="6">
      <c r="A6" s="4" t="inlineStr">
        <is>
          <t>2025-09</t>
        </is>
      </c>
      <c r="B6" s="5" t="n">
        <v>150766</v>
      </c>
      <c r="C6" s="5" t="n">
        <v>150766</v>
      </c>
      <c r="D6" s="5" t="n">
        <v>0</v>
      </c>
      <c r="E6" s="6" t="n">
        <v>0</v>
      </c>
      <c r="F6" s="5" t="n">
        <v>7538</v>
      </c>
      <c r="G6" s="5" t="n">
        <v>7538</v>
      </c>
      <c r="H6" s="5" t="n">
        <v>20</v>
      </c>
      <c r="I6" s="11" t="inlineStr">
        <is>
          <t>Khop (~0%)</t>
        </is>
      </c>
    </row>
    <row r="7">
      <c r="A7" s="8" t="inlineStr">
        <is>
          <t>2025-10</t>
        </is>
      </c>
      <c r="B7" s="9" t="n">
        <v>101755</v>
      </c>
      <c r="C7" s="9" t="n">
        <v>101755</v>
      </c>
      <c r="D7" s="9" t="n">
        <v>0</v>
      </c>
      <c r="E7" s="10" t="n">
        <v>0</v>
      </c>
      <c r="F7" s="9" t="n">
        <v>4424</v>
      </c>
      <c r="G7" s="9" t="n">
        <v>4424</v>
      </c>
      <c r="H7" s="9" t="n">
        <v>23</v>
      </c>
      <c r="I7" s="11" t="inlineStr">
        <is>
          <t>Khop (~0%)</t>
        </is>
      </c>
    </row>
    <row r="8">
      <c r="A8" s="4" t="inlineStr">
        <is>
          <t>2025-11</t>
        </is>
      </c>
      <c r="B8" s="5" t="n">
        <v>110470</v>
      </c>
      <c r="C8" s="5" t="n">
        <v>110470</v>
      </c>
      <c r="D8" s="5" t="n">
        <v>0</v>
      </c>
      <c r="E8" s="6" t="n">
        <v>0</v>
      </c>
      <c r="F8" s="5" t="n">
        <v>5524</v>
      </c>
      <c r="G8" s="5" t="n">
        <v>5524</v>
      </c>
      <c r="H8" s="5" t="n">
        <v>20</v>
      </c>
      <c r="I8" s="11" t="inlineStr">
        <is>
          <t>Khop (~0%)</t>
        </is>
      </c>
    </row>
    <row r="9">
      <c r="A9" s="8" t="inlineStr">
        <is>
          <t>2025-12</t>
        </is>
      </c>
      <c r="B9" s="9" t="n">
        <v>176770</v>
      </c>
      <c r="C9" s="9" t="n">
        <v>176770</v>
      </c>
      <c r="D9" s="9" t="n">
        <v>0</v>
      </c>
      <c r="E9" s="10" t="n">
        <v>0</v>
      </c>
      <c r="F9" s="9" t="n">
        <v>7686</v>
      </c>
      <c r="G9" s="9" t="n">
        <v>7686</v>
      </c>
      <c r="H9" s="9" t="n">
        <v>23</v>
      </c>
      <c r="I9" s="11" t="inlineStr">
        <is>
          <t>Khop (~0%)</t>
        </is>
      </c>
    </row>
    <row r="10">
      <c r="A10" s="4" t="inlineStr">
        <is>
          <t>2026-01</t>
        </is>
      </c>
      <c r="B10" s="5" t="n">
        <v>108730</v>
      </c>
      <c r="C10" s="5" t="n">
        <v>108730</v>
      </c>
      <c r="D10" s="5" t="n">
        <v>0</v>
      </c>
      <c r="E10" s="6" t="n">
        <v>0</v>
      </c>
      <c r="F10" s="5" t="n">
        <v>5437</v>
      </c>
      <c r="G10" s="5" t="n">
        <v>5436</v>
      </c>
      <c r="H10" s="5" t="n">
        <v>20</v>
      </c>
      <c r="I10" s="11" t="inlineStr">
        <is>
          <t>Khop (~0%)</t>
        </is>
      </c>
    </row>
    <row r="11">
      <c r="A11" s="8" t="inlineStr">
        <is>
          <t>2026-02</t>
        </is>
      </c>
      <c r="B11" s="9" t="n">
        <v>63184</v>
      </c>
      <c r="C11" s="9" t="n">
        <v>63184</v>
      </c>
      <c r="D11" s="9" t="n">
        <v>0</v>
      </c>
      <c r="E11" s="10" t="n">
        <v>0</v>
      </c>
      <c r="F11" s="9" t="n">
        <v>4212</v>
      </c>
      <c r="G11" s="9" t="n">
        <v>4212</v>
      </c>
      <c r="H11" s="9" t="n">
        <v>15</v>
      </c>
      <c r="I11" s="11" t="inlineStr">
        <is>
          <t>Khop (~0%)</t>
        </is>
      </c>
    </row>
    <row r="12">
      <c r="A12" s="4" t="inlineStr">
        <is>
          <t>2026-03</t>
        </is>
      </c>
      <c r="B12" s="5" t="n">
        <v>151283</v>
      </c>
      <c r="C12" s="5" t="n">
        <v>151283</v>
      </c>
      <c r="D12" s="5" t="n">
        <v>0</v>
      </c>
      <c r="E12" s="6" t="n">
        <v>0</v>
      </c>
      <c r="F12" s="5" t="n">
        <v>6877</v>
      </c>
      <c r="G12" s="5" t="n">
        <v>6876</v>
      </c>
      <c r="H12" s="5" t="n">
        <v>22</v>
      </c>
      <c r="I12" s="11" t="inlineStr">
        <is>
          <t>Khop (~0%)</t>
        </is>
      </c>
    </row>
    <row r="13">
      <c r="A13" s="8" t="inlineStr">
        <is>
          <t>2026-04</t>
        </is>
      </c>
      <c r="B13" s="9" t="n">
        <v>131020</v>
      </c>
      <c r="C13" s="9" t="n">
        <v>131000</v>
      </c>
      <c r="D13" s="9" t="n">
        <v>-20</v>
      </c>
      <c r="E13" s="10" t="n">
        <v>-0</v>
      </c>
      <c r="F13" s="9" t="n">
        <v>6551</v>
      </c>
      <c r="G13" s="9" t="n">
        <v>6550</v>
      </c>
      <c r="H13" s="9" t="n">
        <v>20</v>
      </c>
      <c r="I13" s="11" t="inlineStr">
        <is>
          <t>Khop (~0%)</t>
        </is>
      </c>
    </row>
    <row r="14">
      <c r="A14" s="4" t="inlineStr">
        <is>
          <t>2026-05</t>
        </is>
      </c>
      <c r="B14" s="5" t="n">
        <v>120129</v>
      </c>
      <c r="C14" s="5" t="n">
        <v>120129</v>
      </c>
      <c r="D14" s="5" t="n">
        <v>0</v>
      </c>
      <c r="E14" s="6" t="n">
        <v>0</v>
      </c>
      <c r="F14" s="5" t="n">
        <v>6006</v>
      </c>
      <c r="G14" s="5" t="n">
        <v>6006</v>
      </c>
      <c r="H14" s="5" t="n">
        <v>20</v>
      </c>
      <c r="I14" s="11" t="inlineStr">
        <is>
          <t>Khop (~0%)</t>
        </is>
      </c>
    </row>
    <row r="15">
      <c r="A15" s="8" t="inlineStr">
        <is>
          <t>2026-06</t>
        </is>
      </c>
      <c r="B15" s="9" t="n">
        <v>168576</v>
      </c>
      <c r="C15" s="9" t="n">
        <v>167556</v>
      </c>
      <c r="D15" s="9" t="n">
        <v>-1020</v>
      </c>
      <c r="E15" s="10" t="n">
        <v>-0.006</v>
      </c>
      <c r="F15" s="9" t="n">
        <v>7662</v>
      </c>
      <c r="G15" s="9" t="n">
        <v>7616</v>
      </c>
      <c r="H15" s="9" t="n">
        <v>22</v>
      </c>
      <c r="I15" s="7" t="inlineStr">
        <is>
          <t>Lech nho</t>
        </is>
      </c>
    </row>
    <row r="16">
      <c r="A16" s="13" t="inlineStr">
        <is>
          <t>Tong 12T</t>
        </is>
      </c>
      <c r="B16" s="14">
        <f>SUM(B4:B15)</f>
        <v/>
      </c>
      <c r="C16" s="14">
        <f>SUM(C4:C15)</f>
        <v/>
      </c>
      <c r="D16" s="14">
        <f>SUM(D4:D15)</f>
        <v/>
      </c>
      <c r="E16" s="15">
        <f>(C16-B16)/B16</f>
        <v/>
      </c>
      <c r="F16" s="14">
        <f>SUM(F4:F15)</f>
        <v/>
      </c>
      <c r="G16" s="14">
        <f>SUM(G4:G15)</f>
        <v/>
      </c>
      <c r="H16" s="14">
        <f>SUM(H4:H15)</f>
        <v/>
      </c>
      <c r="I16" s="16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7" t="inlineStr">
        <is>
          <t>DOI CHIEU VBMA vs HNX - 3 CHIEU (Phat hanh RL / Mua lai / GD thu cap)</t>
        </is>
      </c>
    </row>
    <row r="2">
      <c r="A2" s="18" t="inlineStr"/>
    </row>
    <row r="3">
      <c r="A3" s="18" t="inlineStr">
        <is>
          <t>NGUON: VBMA = bao cao thang (Phu luc 1 + trang TPDN). HNX = 3 file raw cao 15/07/2026</t>
        </is>
      </c>
    </row>
    <row r="4">
      <c r="A4" s="18" t="inlineStr">
        <is>
          <t>(bond_issuance_raw / bond_buyback_raw / bond_secondary_raw). Cua so: T7/2025 - T6/2026.</t>
        </is>
      </c>
    </row>
    <row r="5">
      <c r="A5" s="18" t="inlineStr"/>
    </row>
    <row r="6">
      <c r="A6" s="19">
        <f>== 1. PHAT HANH RIENG LE ===</f>
        <v/>
      </c>
    </row>
    <row r="7">
      <c r="A7" s="18" t="inlineStr">
        <is>
          <t>- Sau dinh chinh, VBMA khop rat sat HNX (5 thang lech &lt;0.1%). Tong 12T da dinh chinh 494,876 vs HNX 586,617 ty.</t>
        </is>
      </c>
    </row>
    <row r="8">
      <c r="A8" s="18" t="inlineStr">
        <is>
          <t>- Chenh con lai = CBTT muon hon ca thoi diem VBMA chot dinh chinh (M+1). T6/2026 chua dinh chinh:</t>
        </is>
      </c>
    </row>
    <row r="9">
      <c r="A9" s="18" t="inlineStr">
        <is>
          <t xml:space="preserve">  VBMA 40,376 (39 dot) vs HNX 119,458 (78 dot) -&gt; se tang ~3x o bao cao T7.</t>
        </is>
      </c>
    </row>
    <row r="10">
      <c r="A10" s="18" t="inlineStr"/>
    </row>
    <row r="11">
      <c r="A11" s="19">
        <f>== 2. MUA LAI TRUOC HAN ===  (phat hien dang chu y)</f>
        <v/>
      </c>
    </row>
    <row r="12">
      <c r="A12" s="18" t="inlineStr">
        <is>
          <t>- HNX cao hon VBMA MOI THANG ~60-110% (tong 12T: VBMA 222,778 vs HNX 349,725 ty, +57%).</t>
        </is>
      </c>
    </row>
    <row r="13">
      <c r="A13" s="18" t="inlineStr">
        <is>
          <t>- Nguyen nhan: VBMA KHONG dinh chinh mua lai. Khi loc HNX theo CBTT truoc ngay chot bao cao -&gt; KHOP VBMA</t>
        </is>
      </c>
    </row>
    <row r="14">
      <c r="A14" s="18" t="inlineStr">
        <is>
          <t xml:space="preserve">  tuyet doi ca 12 thang (0.0%). Vay gap = cac dot mua lai CBTT MUON ma VBMA khong bao gio bo sung.</t>
        </is>
      </c>
    </row>
    <row r="15">
      <c r="A15" s="18" t="inlineStr">
        <is>
          <t>- HE QUA: con so mua lai VBMA cong bo bi THAP hon thuc te ~40-50%. So thuc te (HNX moi nhat) moi day du.</t>
        </is>
      </c>
    </row>
    <row r="16">
      <c r="A16" s="18" t="inlineStr"/>
    </row>
    <row r="17">
      <c r="A17" s="19">
        <f>== 3. GIAO DICH THU CAP ===</f>
        <v/>
      </c>
    </row>
    <row r="18">
      <c r="A18" s="18" t="inlineStr">
        <is>
          <t>- KHOP GAN TUYET DOI ca 12 thang (10/12 thang lech 0.0% toi tung ty; so phien &amp; BQ/phien cung khop).</t>
        </is>
      </c>
    </row>
    <row r="19">
      <c r="A19" s="18" t="inlineStr">
        <is>
          <t>- GTGD tat toan trong ngay, khong co do tre CBTT -&gt; validate rang pipeline HNX chinh xac.</t>
        </is>
      </c>
    </row>
    <row r="20">
      <c r="A20" s="18" t="inlineStr"/>
    </row>
    <row r="21">
      <c r="A21" s="19">
        <f>== KET LUAN ===</f>
        <v/>
      </c>
    </row>
    <row r="22">
      <c r="A22" s="18" t="inlineStr">
        <is>
          <t>1. GD thu cap: VBMA = HNX (chuan).</t>
        </is>
      </c>
    </row>
    <row r="23">
      <c r="A23" s="18" t="inlineStr">
        <is>
          <t>2. Phat hanh RL: VBMA sau dinh chinh dang tin cay; do tre CBTT lam so 'lan dau' thap.</t>
        </is>
      </c>
    </row>
    <row r="24">
      <c r="A24" s="18" t="inlineStr">
        <is>
          <t>3. Mua lai: VBMA THIEU HE THONG do khong dinh chinh -&gt; nen dung so HNX moi nhat de phan anh mua lai thuc 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2026-07-15T10:18:10Z</dcterms:created>
  <dcterms:modified xsi:type="dcterms:W3CDTF">2026-07-15T10:18:10Z</dcterms:modified>
</cp:coreProperties>
</file>