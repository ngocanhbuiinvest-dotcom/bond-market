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NX theo thang" sheetId="1" state="visible" r:id="rId1"/>
    <sheet name="Ghi chu &amp; Ngu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color rgb="007F6000"/>
      <sz val="9"/>
    </font>
    <font>
      <i val="1"/>
      <color rgb="00548235"/>
      <sz val="9"/>
    </font>
    <font>
      <b val="1"/>
    </font>
    <font>
      <b val="1"/>
      <color rgb="001F4E79"/>
      <sz val="12"/>
    </font>
    <font>
      <color rgb="00000000"/>
      <sz val="10"/>
    </font>
    <font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7F6000"/>
      </patternFill>
    </fill>
    <fill>
      <patternFill patternType="solid">
        <fgColor rgb="00548235"/>
      </patternFill>
    </fill>
    <fill>
      <patternFill patternType="solid">
        <fgColor rgb="00EAF1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0" fillId="7" borderId="1" applyAlignment="1" pivotButton="0" quotePrefix="0" xfId="0">
      <alignment horizontal="center"/>
    </xf>
    <xf numFmtId="3" fontId="0" fillId="7" borderId="1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  <xf numFmtId="3" fontId="3" fillId="7" borderId="1" applyAlignment="1" pivotButton="0" quotePrefix="0" xfId="0">
      <alignment horizontal="right"/>
    </xf>
    <xf numFmtId="3" fontId="4" fillId="7" borderId="1" applyAlignment="1" pivotButton="0" quotePrefix="0" xfId="0">
      <alignment horizontal="right"/>
    </xf>
    <xf numFmtId="164" fontId="4" fillId="7" borderId="1" applyAlignment="1" pivotButton="0" quotePrefix="0" xfId="0">
      <alignment horizontal="right"/>
    </xf>
    <xf numFmtId="164" fontId="0" fillId="0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3" fontId="5" fillId="8" borderId="1" applyAlignment="1" pivotButton="0" quotePrefix="0" xfId="0">
      <alignment horizontal="right"/>
    </xf>
    <xf numFmtId="0" fontId="5" fillId="8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HNX theo thang: Phat hanh RL / Mua lai / GTGD thu cap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'HNX theo thang'!B3</f>
            </strRef>
          </tx>
          <spPr>
            <a:ln>
              <a:prstDash val="solid"/>
            </a:ln>
          </spPr>
          <cat>
            <numRef>
              <f>'HNX theo thang'!$A$4:$A$15</f>
            </numRef>
          </cat>
          <val>
            <numRef>
              <f>'HNX theo thang'!$B$4:$B$15</f>
            </numRef>
          </val>
        </ser>
        <ser>
          <idx val="1"/>
          <order val="1"/>
          <tx>
            <strRef>
              <f>'HNX theo thang'!F3</f>
            </strRef>
          </tx>
          <spPr>
            <a:ln>
              <a:prstDash val="solid"/>
            </a:ln>
          </spPr>
          <cat>
            <numRef>
              <f>'HNX theo thang'!$A$4:$A$15</f>
            </numRef>
          </cat>
          <val>
            <numRef>
              <f>'HNX theo thang'!$F$4:$F$15</f>
            </numRef>
          </val>
        </ser>
        <ser>
          <idx val="2"/>
          <order val="2"/>
          <tx>
            <strRef>
              <f>'HNX theo thang'!J3</f>
            </strRef>
          </tx>
          <spPr>
            <a:ln>
              <a:prstDash val="solid"/>
            </a:ln>
          </spPr>
          <cat>
            <numRef>
              <f>'HNX theo thang'!$A$4:$A$15</f>
            </numRef>
          </cat>
          <val>
            <numRef>
              <f>'HNX theo thang'!$J$4:$J$15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93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8" customWidth="1" min="4" max="4"/>
    <col width="8" customWidth="1" min="5" max="5"/>
    <col width="12" customWidth="1" min="6" max="6"/>
    <col width="7" customWidth="1" min="7" max="7"/>
    <col width="8" customWidth="1" min="8" max="8"/>
    <col width="8" customWidth="1" min="9" max="9"/>
    <col width="11" customWidth="1" min="10" max="10"/>
    <col width="8" customWidth="1" min="11" max="11"/>
    <col width="9" customWidth="1" min="12" max="12"/>
    <col width="8" customWidth="1" min="13" max="13"/>
    <col width="8" customWidth="1" min="14" max="14"/>
    <col width="15" customWidth="1" min="15" max="15"/>
    <col width="8" customWidth="1" min="16" max="16"/>
    <col width="13" customWidth="1" min="17" max="17"/>
    <col width="10" customWidth="1" min="18" max="18"/>
    <col width="13" customWidth="1" min="19" max="19"/>
    <col width="11" customWidth="1" min="20" max="20"/>
    <col width="9" customWidth="1" min="21" max="21"/>
    <col width="12" customWidth="1" min="22" max="22"/>
    <col width="9" customWidth="1" min="23" max="23"/>
    <col width="11" customWidth="1" min="24" max="24"/>
    <col width="9" customWidth="1" min="25" max="25"/>
  </cols>
  <sheetData>
    <row r="1" ht="24" customHeight="1">
      <c r="A1" s="1" t="inlineStr">
        <is>
          <t>TPDN THEO THANG — NGUON CHUAN: HNX (VBMA chi de cross-check)</t>
        </is>
      </c>
    </row>
    <row r="2" ht="26" customHeight="1">
      <c r="A2" s="2" t="inlineStr"/>
      <c r="B2" s="3" t="inlineStr">
        <is>
          <t>HNX — PHAT HANH RIENG LE</t>
        </is>
      </c>
      <c r="F2" s="3" t="inlineStr">
        <is>
          <t>HNX — MUA LAI TRUOC HAN</t>
        </is>
      </c>
      <c r="J2" s="3" t="inlineStr">
        <is>
          <t>HNX — GIAO DICH THU CAP</t>
        </is>
      </c>
      <c r="O2" s="4" t="inlineStr">
        <is>
          <t>BO SUNG (nguon VBMA)</t>
        </is>
      </c>
      <c r="T2" s="5" t="inlineStr">
        <is>
          <t>CROSS-CHECK VBMA (lech HNX vs VBMA)</t>
        </is>
      </c>
    </row>
    <row r="3" ht="34" customHeight="1">
      <c r="A3" s="2" t="inlineStr">
        <is>
          <t>Thang</t>
        </is>
      </c>
      <c r="B3" s="2" t="inlineStr">
        <is>
          <t>PH RL (ty)</t>
        </is>
      </c>
      <c r="C3" s="2" t="inlineStr">
        <is>
          <t>So dot</t>
        </is>
      </c>
      <c r="D3" s="2" t="inlineStr">
        <is>
          <t>%MoM</t>
        </is>
      </c>
      <c r="E3" s="2" t="inlineStr">
        <is>
          <t>%YoY</t>
        </is>
      </c>
      <c r="F3" s="2" t="inlineStr">
        <is>
          <t>Mua lai (ty)</t>
        </is>
      </c>
      <c r="G3" s="2" t="inlineStr">
        <is>
          <t>So dot</t>
        </is>
      </c>
      <c r="H3" s="2" t="inlineStr">
        <is>
          <t>%MoM</t>
        </is>
      </c>
      <c r="I3" s="2" t="inlineStr">
        <is>
          <t>%YoY</t>
        </is>
      </c>
      <c r="J3" s="2" t="inlineStr">
        <is>
          <t>GTGD (ty)</t>
        </is>
      </c>
      <c r="K3" s="2" t="inlineStr">
        <is>
          <t>So phien</t>
        </is>
      </c>
      <c r="L3" s="2" t="inlineStr">
        <is>
          <t>BQ/phien</t>
        </is>
      </c>
      <c r="M3" s="2" t="inlineStr">
        <is>
          <t>%MoM</t>
        </is>
      </c>
      <c r="N3" s="2" t="inlineStr">
        <is>
          <t>%YoY</t>
        </is>
      </c>
      <c r="O3" s="2" t="inlineStr">
        <is>
          <t>PH cong chung (ty)</t>
        </is>
      </c>
      <c r="P3" s="2" t="inlineStr">
        <is>
          <t>So dot CC</t>
        </is>
      </c>
      <c r="Q3" s="2" t="inlineStr">
        <is>
          <t>Tong TPDN (ty)</t>
        </is>
      </c>
      <c r="R3" s="2" t="inlineStr">
        <is>
          <t>So ma cham tra</t>
        </is>
      </c>
      <c r="S3" s="2" t="inlineStr">
        <is>
          <t>Goc cham tra (ty)</t>
        </is>
      </c>
      <c r="T3" s="2" t="inlineStr">
        <is>
          <t>VBMA PH RL</t>
        </is>
      </c>
      <c r="U3" s="2" t="inlineStr">
        <is>
          <t>lech RL%</t>
        </is>
      </c>
      <c r="V3" s="2" t="inlineStr">
        <is>
          <t>VBMA mua lai</t>
        </is>
      </c>
      <c r="W3" s="2" t="inlineStr">
        <is>
          <t>lech ML%</t>
        </is>
      </c>
      <c r="X3" s="2" t="inlineStr">
        <is>
          <t>VBMA GTGD</t>
        </is>
      </c>
      <c r="Y3" s="2" t="inlineStr">
        <is>
          <t>lech GD%</t>
        </is>
      </c>
    </row>
    <row r="4">
      <c r="A4" s="6" t="inlineStr">
        <is>
          <t>2025-07</t>
        </is>
      </c>
      <c r="B4" s="7" t="n">
        <v>32464</v>
      </c>
      <c r="C4" s="7" t="n">
        <v>41</v>
      </c>
      <c r="D4" s="8" t="n">
        <v>-0.741</v>
      </c>
      <c r="E4" s="8" t="n">
        <v>-0.199</v>
      </c>
      <c r="F4" s="7" t="n">
        <v>26886</v>
      </c>
      <c r="G4" s="7" t="n">
        <v>73</v>
      </c>
      <c r="H4" s="8" t="n">
        <v>-0.578</v>
      </c>
      <c r="I4" s="8" t="n">
        <v>-0.195</v>
      </c>
      <c r="J4" s="7" t="n">
        <v>132027</v>
      </c>
      <c r="K4" s="7" t="n">
        <v>23</v>
      </c>
      <c r="L4" s="7" t="n">
        <v>5740</v>
      </c>
      <c r="M4" s="8" t="n">
        <v>0.023</v>
      </c>
      <c r="N4" s="8" t="n">
        <v>0.5639999999999999</v>
      </c>
      <c r="O4" s="9" t="n">
        <v>13549</v>
      </c>
      <c r="P4" s="9" t="n">
        <v>1</v>
      </c>
      <c r="Q4" s="9" t="n">
        <v>46013</v>
      </c>
      <c r="R4" s="9" t="n">
        <v>7</v>
      </c>
      <c r="S4" s="9" t="n">
        <v>881</v>
      </c>
      <c r="T4" s="10" t="n">
        <v>31704</v>
      </c>
      <c r="U4" s="11" t="n">
        <v>0.024</v>
      </c>
      <c r="V4" s="10" t="n">
        <v>16054</v>
      </c>
      <c r="W4" s="11" t="n">
        <v>0.675</v>
      </c>
      <c r="X4" s="10" t="n">
        <v>132027</v>
      </c>
      <c r="Y4" s="11" t="n">
        <v>-0</v>
      </c>
    </row>
    <row r="5">
      <c r="A5" s="12" t="inlineStr">
        <is>
          <t>2025-08</t>
        </is>
      </c>
      <c r="B5" s="13" t="n">
        <v>54730</v>
      </c>
      <c r="C5" s="13" t="n">
        <v>57</v>
      </c>
      <c r="D5" s="14" t="n">
        <v>0.6859999999999999</v>
      </c>
      <c r="E5" s="14" t="n">
        <v>0.033</v>
      </c>
      <c r="F5" s="13" t="n">
        <v>47999</v>
      </c>
      <c r="G5" s="13" t="n">
        <v>171</v>
      </c>
      <c r="H5" s="14" t="n">
        <v>0.785</v>
      </c>
      <c r="I5" s="14" t="n">
        <v>2.02</v>
      </c>
      <c r="J5" s="13" t="n">
        <v>109288</v>
      </c>
      <c r="K5" s="13" t="n">
        <v>21</v>
      </c>
      <c r="L5" s="13" t="n">
        <v>5204</v>
      </c>
      <c r="M5" s="14" t="n">
        <v>-0.172</v>
      </c>
      <c r="N5" s="14" t="n">
        <v>0.508</v>
      </c>
      <c r="O5" s="15" t="n">
        <v>6332</v>
      </c>
      <c r="P5" s="15" t="n">
        <v>6</v>
      </c>
      <c r="Q5" s="15" t="n">
        <v>61062</v>
      </c>
      <c r="R5" s="15" t="n">
        <v>4</v>
      </c>
      <c r="S5" s="15" t="n">
        <v>313</v>
      </c>
      <c r="T5" s="16" t="n">
        <v>54030</v>
      </c>
      <c r="U5" s="17" t="n">
        <v>0.013</v>
      </c>
      <c r="V5" s="16" t="n">
        <v>27032</v>
      </c>
      <c r="W5" s="17" t="n">
        <v>0.7759999999999999</v>
      </c>
      <c r="X5" s="16" t="n">
        <v>109288</v>
      </c>
      <c r="Y5" s="17" t="n">
        <v>-0</v>
      </c>
    </row>
    <row r="6">
      <c r="A6" s="6" t="inlineStr">
        <is>
          <t>2025-09</t>
        </is>
      </c>
      <c r="B6" s="7" t="n">
        <v>56070</v>
      </c>
      <c r="C6" s="7" t="n">
        <v>49</v>
      </c>
      <c r="D6" s="8" t="n">
        <v>0.024</v>
      </c>
      <c r="E6" s="8" t="n">
        <v>-0.012</v>
      </c>
      <c r="F6" s="7" t="n">
        <v>41280</v>
      </c>
      <c r="G6" s="7" t="n">
        <v>90</v>
      </c>
      <c r="H6" s="8" t="n">
        <v>-0.14</v>
      </c>
      <c r="I6" s="8" t="n">
        <v>0.956</v>
      </c>
      <c r="J6" s="7" t="n">
        <v>150766</v>
      </c>
      <c r="K6" s="7" t="n">
        <v>20</v>
      </c>
      <c r="L6" s="7" t="n">
        <v>7538</v>
      </c>
      <c r="M6" s="8" t="n">
        <v>0.38</v>
      </c>
      <c r="N6" s="8" t="n">
        <v>0.718</v>
      </c>
      <c r="O6" s="9" t="n">
        <v>499</v>
      </c>
      <c r="P6" s="9" t="n">
        <v>1</v>
      </c>
      <c r="Q6" s="9" t="n">
        <v>56569</v>
      </c>
      <c r="R6" s="9" t="n">
        <v>5</v>
      </c>
      <c r="S6" s="9" t="n">
        <v>150</v>
      </c>
      <c r="T6" s="10" t="n">
        <v>50070</v>
      </c>
      <c r="U6" s="11" t="n">
        <v>0.12</v>
      </c>
      <c r="V6" s="10" t="n">
        <v>19509</v>
      </c>
      <c r="W6" s="11" t="n">
        <v>1.116</v>
      </c>
      <c r="X6" s="10" t="n">
        <v>150766</v>
      </c>
      <c r="Y6" s="11" t="n">
        <v>0</v>
      </c>
    </row>
    <row r="7">
      <c r="A7" s="12" t="inlineStr">
        <is>
          <t>2025-10</t>
        </is>
      </c>
      <c r="B7" s="13" t="n">
        <v>64602</v>
      </c>
      <c r="C7" s="13" t="n">
        <v>53</v>
      </c>
      <c r="D7" s="14" t="n">
        <v>0.152</v>
      </c>
      <c r="E7" s="14" t="n">
        <v>0.6909999999999999</v>
      </c>
      <c r="F7" s="13" t="n">
        <v>19498</v>
      </c>
      <c r="G7" s="13" t="n">
        <v>47</v>
      </c>
      <c r="H7" s="14" t="n">
        <v>-0.528</v>
      </c>
      <c r="I7" s="14" t="n">
        <v>0.09300000000000001</v>
      </c>
      <c r="J7" s="13" t="n">
        <v>101755</v>
      </c>
      <c r="K7" s="13" t="n">
        <v>23</v>
      </c>
      <c r="L7" s="13" t="n">
        <v>4424</v>
      </c>
      <c r="M7" s="14" t="n">
        <v>-0.325</v>
      </c>
      <c r="N7" s="14" t="n">
        <v>-0.161</v>
      </c>
      <c r="O7" s="15" t="n">
        <v>2299</v>
      </c>
      <c r="P7" s="15" t="n">
        <v>4</v>
      </c>
      <c r="Q7" s="15" t="n">
        <v>66901</v>
      </c>
      <c r="R7" s="15" t="n">
        <v>5</v>
      </c>
      <c r="S7" s="15" t="n">
        <v>714</v>
      </c>
      <c r="T7" s="16" t="n">
        <v>64602</v>
      </c>
      <c r="U7" s="17" t="n">
        <v>0</v>
      </c>
      <c r="V7" s="16" t="n">
        <v>9948</v>
      </c>
      <c r="W7" s="17" t="n">
        <v>0.96</v>
      </c>
      <c r="X7" s="16" t="n">
        <v>101755</v>
      </c>
      <c r="Y7" s="17" t="n">
        <v>-0</v>
      </c>
    </row>
    <row r="8">
      <c r="A8" s="6" t="inlineStr">
        <is>
          <t>2025-11</t>
        </is>
      </c>
      <c r="B8" s="7" t="n">
        <v>35243</v>
      </c>
      <c r="C8" s="7" t="n">
        <v>43</v>
      </c>
      <c r="D8" s="8" t="n">
        <v>-0.454</v>
      </c>
      <c r="E8" s="8" t="n">
        <v>-0.025</v>
      </c>
      <c r="F8" s="7" t="n">
        <v>17906</v>
      </c>
      <c r="G8" s="7" t="n">
        <v>54</v>
      </c>
      <c r="H8" s="8" t="n">
        <v>-0.08199999999999999</v>
      </c>
      <c r="I8" s="8" t="n">
        <v>0.637</v>
      </c>
      <c r="J8" s="7" t="n">
        <v>110470</v>
      </c>
      <c r="K8" s="7" t="n">
        <v>20</v>
      </c>
      <c r="L8" s="7" t="n">
        <v>5524</v>
      </c>
      <c r="M8" s="8" t="n">
        <v>0.08599999999999999</v>
      </c>
      <c r="N8" s="8" t="n">
        <v>0.158</v>
      </c>
      <c r="O8" s="9" t="n">
        <v>0</v>
      </c>
      <c r="P8" s="9" t="n">
        <v>0</v>
      </c>
      <c r="Q8" s="9" t="n">
        <v>35243</v>
      </c>
      <c r="R8" s="9" t="n">
        <v>3</v>
      </c>
      <c r="S8" s="9" t="n">
        <v>287</v>
      </c>
      <c r="T8" s="10" t="n">
        <v>35243</v>
      </c>
      <c r="U8" s="11" t="n">
        <v>-0</v>
      </c>
      <c r="V8" s="10" t="n">
        <v>11144</v>
      </c>
      <c r="W8" s="11" t="n">
        <v>0.607</v>
      </c>
      <c r="X8" s="10" t="n">
        <v>110470</v>
      </c>
      <c r="Y8" s="11" t="n">
        <v>0</v>
      </c>
    </row>
    <row r="9">
      <c r="A9" s="12" t="inlineStr">
        <is>
          <t>2025-12</t>
        </is>
      </c>
      <c r="B9" s="13" t="n">
        <v>101183</v>
      </c>
      <c r="C9" s="13" t="n">
        <v>101</v>
      </c>
      <c r="D9" s="14" t="n">
        <v>1.871</v>
      </c>
      <c r="E9" s="14" t="n">
        <v>0.24</v>
      </c>
      <c r="F9" s="13" t="n">
        <v>43250</v>
      </c>
      <c r="G9" s="13" t="n">
        <v>101</v>
      </c>
      <c r="H9" s="14" t="n">
        <v>1.415</v>
      </c>
      <c r="I9" s="14" t="n">
        <v>0.013</v>
      </c>
      <c r="J9" s="13" t="n">
        <v>176770</v>
      </c>
      <c r="K9" s="13" t="n">
        <v>23</v>
      </c>
      <c r="L9" s="13" t="n">
        <v>7686</v>
      </c>
      <c r="M9" s="14" t="n">
        <v>0.6</v>
      </c>
      <c r="N9" s="14" t="n">
        <v>0.341</v>
      </c>
      <c r="O9" s="15" t="n">
        <v>4771</v>
      </c>
      <c r="P9" s="15" t="n">
        <v>6</v>
      </c>
      <c r="Q9" s="15" t="n">
        <v>105954</v>
      </c>
      <c r="R9" s="15" t="n">
        <v>3</v>
      </c>
      <c r="S9" s="15" t="n">
        <v>110</v>
      </c>
      <c r="T9" s="16" t="n">
        <v>96143</v>
      </c>
      <c r="U9" s="17" t="n">
        <v>0.052</v>
      </c>
      <c r="V9" s="16" t="n">
        <v>35820</v>
      </c>
      <c r="W9" s="17" t="n">
        <v>0.207</v>
      </c>
      <c r="X9" s="16" t="n">
        <v>176770</v>
      </c>
      <c r="Y9" s="17" t="n">
        <v>0</v>
      </c>
    </row>
    <row r="10">
      <c r="A10" s="6" t="inlineStr">
        <is>
          <t>2026-01</t>
        </is>
      </c>
      <c r="B10" s="7" t="n">
        <v>380</v>
      </c>
      <c r="C10" s="7" t="n">
        <v>2</v>
      </c>
      <c r="D10" s="8" t="n">
        <v>-0.996</v>
      </c>
      <c r="E10" s="18" t="inlineStr">
        <is>
          <t>—</t>
        </is>
      </c>
      <c r="F10" s="7" t="n">
        <v>1451</v>
      </c>
      <c r="G10" s="7" t="n">
        <v>25</v>
      </c>
      <c r="H10" s="8" t="n">
        <v>-0.966</v>
      </c>
      <c r="I10" s="8" t="n">
        <v>-0.894</v>
      </c>
      <c r="J10" s="7" t="n">
        <v>108730</v>
      </c>
      <c r="K10" s="7" t="n">
        <v>20</v>
      </c>
      <c r="L10" s="7" t="n">
        <v>5436</v>
      </c>
      <c r="M10" s="8" t="n">
        <v>-0.385</v>
      </c>
      <c r="N10" s="8" t="n">
        <v>0.357</v>
      </c>
      <c r="O10" s="9" t="n">
        <v>4811</v>
      </c>
      <c r="P10" s="9" t="n">
        <v>3</v>
      </c>
      <c r="Q10" s="9" t="n">
        <v>5191</v>
      </c>
      <c r="R10" s="9" t="n">
        <v>4</v>
      </c>
      <c r="S10" s="9" t="n">
        <v>746</v>
      </c>
      <c r="T10" s="10" t="n">
        <v>190</v>
      </c>
      <c r="U10" s="11" t="n">
        <v>1</v>
      </c>
      <c r="V10" s="10" t="n">
        <v>384</v>
      </c>
      <c r="W10" s="11" t="n">
        <v>2.778</v>
      </c>
      <c r="X10" s="10" t="n">
        <v>108730</v>
      </c>
      <c r="Y10" s="11" t="n">
        <v>0</v>
      </c>
    </row>
    <row r="11">
      <c r="A11" s="12" t="inlineStr">
        <is>
          <t>2026-02</t>
        </is>
      </c>
      <c r="B11" s="13" t="n">
        <v>80</v>
      </c>
      <c r="C11" s="13" t="n">
        <v>1</v>
      </c>
      <c r="D11" s="19" t="inlineStr">
        <is>
          <t>—</t>
        </is>
      </c>
      <c r="E11" s="19" t="inlineStr">
        <is>
          <t>—</t>
        </is>
      </c>
      <c r="F11" s="13" t="n">
        <v>3115</v>
      </c>
      <c r="G11" s="13" t="n">
        <v>25</v>
      </c>
      <c r="H11" s="14" t="n">
        <v>1.147</v>
      </c>
      <c r="I11" s="14" t="n">
        <v>-0.194</v>
      </c>
      <c r="J11" s="13" t="n">
        <v>63184</v>
      </c>
      <c r="K11" s="13" t="n">
        <v>15</v>
      </c>
      <c r="L11" s="13" t="n">
        <v>4212</v>
      </c>
      <c r="M11" s="14" t="n">
        <v>-0.419</v>
      </c>
      <c r="N11" s="14" t="n">
        <v>-0.14</v>
      </c>
      <c r="O11" s="15" t="n">
        <v>3301</v>
      </c>
      <c r="P11" s="15" t="n">
        <v>3</v>
      </c>
      <c r="Q11" s="15" t="n">
        <v>3381</v>
      </c>
      <c r="R11" s="15" t="n">
        <v>3</v>
      </c>
      <c r="S11" s="15" t="n">
        <v>490</v>
      </c>
      <c r="T11" s="16" t="n">
        <v>80</v>
      </c>
      <c r="U11" s="17" t="n">
        <v>-0.006</v>
      </c>
      <c r="V11" s="16" t="n">
        <v>1749</v>
      </c>
      <c r="W11" s="17" t="n">
        <v>0.7809999999999999</v>
      </c>
      <c r="X11" s="16" t="n">
        <v>63184</v>
      </c>
      <c r="Y11" s="17" t="n">
        <v>-0</v>
      </c>
    </row>
    <row r="12">
      <c r="A12" s="6" t="inlineStr">
        <is>
          <t>2026-03</t>
        </is>
      </c>
      <c r="B12" s="7" t="n">
        <v>28006</v>
      </c>
      <c r="C12" s="7" t="n">
        <v>10</v>
      </c>
      <c r="D12" s="18" t="inlineStr">
        <is>
          <t>—</t>
        </is>
      </c>
      <c r="E12" s="18" t="inlineStr">
        <is>
          <t>—</t>
        </is>
      </c>
      <c r="F12" s="7" t="n">
        <v>7733</v>
      </c>
      <c r="G12" s="7" t="n">
        <v>42</v>
      </c>
      <c r="H12" s="8" t="n">
        <v>1.482</v>
      </c>
      <c r="I12" s="8" t="n">
        <v>-0.228</v>
      </c>
      <c r="J12" s="7" t="n">
        <v>151283</v>
      </c>
      <c r="K12" s="7" t="n">
        <v>22</v>
      </c>
      <c r="L12" s="7" t="n">
        <v>6876</v>
      </c>
      <c r="M12" s="8" t="n">
        <v>1.394</v>
      </c>
      <c r="N12" s="8" t="n">
        <v>0.252</v>
      </c>
      <c r="O12" s="9" t="n">
        <v>6111</v>
      </c>
      <c r="P12" s="9" t="n">
        <v>2</v>
      </c>
      <c r="Q12" s="9" t="n">
        <v>34117</v>
      </c>
      <c r="R12" s="9" t="n">
        <v>10</v>
      </c>
      <c r="S12" s="9" t="n">
        <v>2205</v>
      </c>
      <c r="T12" s="10" t="n">
        <v>27036</v>
      </c>
      <c r="U12" s="11" t="n">
        <v>0.036</v>
      </c>
      <c r="V12" s="10" t="n">
        <v>6298</v>
      </c>
      <c r="W12" s="11" t="n">
        <v>0.228</v>
      </c>
      <c r="X12" s="10" t="n">
        <v>151283</v>
      </c>
      <c r="Y12" s="11" t="n">
        <v>-0</v>
      </c>
    </row>
    <row r="13">
      <c r="A13" s="12" t="inlineStr">
        <is>
          <t>2026-04</t>
        </is>
      </c>
      <c r="B13" s="13" t="n">
        <v>42450</v>
      </c>
      <c r="C13" s="13" t="n">
        <v>24</v>
      </c>
      <c r="D13" s="14" t="n">
        <v>0.516</v>
      </c>
      <c r="E13" s="14" t="n">
        <v>-0.057</v>
      </c>
      <c r="F13" s="13" t="n">
        <v>30338</v>
      </c>
      <c r="G13" s="13" t="n">
        <v>36</v>
      </c>
      <c r="H13" s="14" t="n">
        <v>2.923</v>
      </c>
      <c r="I13" s="14" t="n">
        <v>1.504</v>
      </c>
      <c r="J13" s="13" t="n">
        <v>131000</v>
      </c>
      <c r="K13" s="13" t="n">
        <v>20</v>
      </c>
      <c r="L13" s="13" t="n">
        <v>6550</v>
      </c>
      <c r="M13" s="14" t="n">
        <v>-0.134</v>
      </c>
      <c r="N13" s="14" t="n">
        <v>0.304</v>
      </c>
      <c r="O13" s="15" t="n">
        <v>2000</v>
      </c>
      <c r="P13" s="15" t="n">
        <v>1</v>
      </c>
      <c r="Q13" s="15" t="n">
        <v>44450</v>
      </c>
      <c r="R13" s="15" t="n">
        <v>4</v>
      </c>
      <c r="S13" s="15" t="n">
        <v>120</v>
      </c>
      <c r="T13" s="16" t="n">
        <v>43450</v>
      </c>
      <c r="U13" s="17" t="n">
        <v>-0.023</v>
      </c>
      <c r="V13" s="16" t="n">
        <v>16663</v>
      </c>
      <c r="W13" s="17" t="n">
        <v>0.821</v>
      </c>
      <c r="X13" s="16" t="n">
        <v>131020</v>
      </c>
      <c r="Y13" s="17" t="n">
        <v>-0</v>
      </c>
    </row>
    <row r="14">
      <c r="A14" s="6" t="inlineStr">
        <is>
          <t>2026-05</t>
        </is>
      </c>
      <c r="B14" s="7" t="n">
        <v>51952</v>
      </c>
      <c r="C14" s="7" t="n">
        <v>47</v>
      </c>
      <c r="D14" s="8" t="n">
        <v>0.224</v>
      </c>
      <c r="E14" s="8" t="n">
        <v>-0.304</v>
      </c>
      <c r="F14" s="7" t="n">
        <v>39677</v>
      </c>
      <c r="G14" s="7" t="n">
        <v>59</v>
      </c>
      <c r="H14" s="8" t="n">
        <v>0.308</v>
      </c>
      <c r="I14" s="8" t="n">
        <v>0.825</v>
      </c>
      <c r="J14" s="7" t="n">
        <v>120129</v>
      </c>
      <c r="K14" s="7" t="n">
        <v>20</v>
      </c>
      <c r="L14" s="7" t="n">
        <v>6006</v>
      </c>
      <c r="M14" s="8" t="n">
        <v>-0.083</v>
      </c>
      <c r="N14" s="8" t="n">
        <v>0.08</v>
      </c>
      <c r="O14" s="9" t="n">
        <v>4999</v>
      </c>
      <c r="P14" s="9" t="n">
        <v>4</v>
      </c>
      <c r="Q14" s="9" t="n">
        <v>56951</v>
      </c>
      <c r="R14" s="9" t="n">
        <v>2</v>
      </c>
      <c r="S14" s="9" t="n">
        <v>125</v>
      </c>
      <c r="T14" s="10" t="n">
        <v>51952</v>
      </c>
      <c r="U14" s="11" t="n">
        <v>-0</v>
      </c>
      <c r="V14" s="10" t="n">
        <v>19780</v>
      </c>
      <c r="W14" s="11" t="n">
        <v>1.006</v>
      </c>
      <c r="X14" s="10" t="n">
        <v>120129</v>
      </c>
      <c r="Y14" s="11" t="n">
        <v>0</v>
      </c>
    </row>
    <row r="15">
      <c r="A15" s="12" t="inlineStr">
        <is>
          <t>2026-06</t>
        </is>
      </c>
      <c r="B15" s="13" t="n">
        <v>119458</v>
      </c>
      <c r="C15" s="13" t="n">
        <v>78</v>
      </c>
      <c r="D15" s="14" t="n">
        <v>1.299</v>
      </c>
      <c r="E15" s="14" t="n">
        <v>-0.048</v>
      </c>
      <c r="F15" s="13" t="n">
        <v>70592</v>
      </c>
      <c r="G15" s="13" t="n">
        <v>96</v>
      </c>
      <c r="H15" s="14" t="n">
        <v>0.779</v>
      </c>
      <c r="I15" s="14" t="n">
        <v>0.108</v>
      </c>
      <c r="J15" s="13" t="n">
        <v>167556</v>
      </c>
      <c r="K15" s="13" t="n">
        <v>22</v>
      </c>
      <c r="L15" s="13" t="n">
        <v>7616</v>
      </c>
      <c r="M15" s="14" t="n">
        <v>0.395</v>
      </c>
      <c r="N15" s="14" t="n">
        <v>0.298</v>
      </c>
      <c r="O15" s="15" t="n">
        <v>3500</v>
      </c>
      <c r="P15" s="15" t="n">
        <v>2</v>
      </c>
      <c r="Q15" s="15" t="n">
        <v>122958</v>
      </c>
      <c r="R15" s="15" t="n">
        <v>2</v>
      </c>
      <c r="S15" s="15" t="n">
        <v>3000</v>
      </c>
      <c r="T15" s="16" t="n">
        <v>40376</v>
      </c>
      <c r="U15" s="17" t="n">
        <v>1.959</v>
      </c>
      <c r="V15" s="16" t="n">
        <v>58397</v>
      </c>
      <c r="W15" s="17" t="n">
        <v>0.209</v>
      </c>
      <c r="X15" s="16" t="n">
        <v>168576</v>
      </c>
      <c r="Y15" s="17" t="n">
        <v>-0.006</v>
      </c>
    </row>
    <row r="16">
      <c r="A16" s="20" t="inlineStr">
        <is>
          <t>Tong 12T</t>
        </is>
      </c>
      <c r="B16" s="21">
        <f>SUM(B4:B15)</f>
        <v/>
      </c>
      <c r="C16" s="21">
        <f>SUM(C4:C15)</f>
        <v/>
      </c>
      <c r="D16" s="22" t="n"/>
      <c r="E16" s="22" t="n"/>
      <c r="F16" s="21">
        <f>SUM(F4:F15)</f>
        <v/>
      </c>
      <c r="G16" s="21">
        <f>SUM(G4:G15)</f>
        <v/>
      </c>
      <c r="H16" s="22" t="n"/>
      <c r="I16" s="22" t="n"/>
      <c r="J16" s="21">
        <f>SUM(J4:J15)</f>
        <v/>
      </c>
      <c r="K16" s="21">
        <f>SUM(K4:K15)</f>
        <v/>
      </c>
      <c r="L16" s="22" t="n"/>
      <c r="M16" s="22" t="n"/>
      <c r="N16" s="22" t="n"/>
      <c r="O16" s="21">
        <f>SUM(O4:O15)</f>
        <v/>
      </c>
      <c r="P16" s="21">
        <f>SUM(P4:P15)</f>
        <v/>
      </c>
      <c r="Q16" s="21">
        <f>SUM(Q4:Q15)</f>
        <v/>
      </c>
      <c r="R16" s="21">
        <f>SUM(R4:R15)</f>
        <v/>
      </c>
      <c r="S16" s="21">
        <f>SUM(S4:S15)</f>
        <v/>
      </c>
      <c r="T16" s="21">
        <f>SUM(T4:T15)</f>
        <v/>
      </c>
      <c r="U16" s="22" t="n"/>
      <c r="V16" s="21">
        <f>SUM(V4:V15)</f>
        <v/>
      </c>
      <c r="W16" s="22" t="n"/>
      <c r="X16" s="21">
        <f>SUM(X4:X15)</f>
        <v/>
      </c>
      <c r="Y16" s="22" t="n"/>
    </row>
  </sheetData>
  <mergeCells count="6">
    <mergeCell ref="T2:Y2"/>
    <mergeCell ref="O2:S2"/>
    <mergeCell ref="F2:I2"/>
    <mergeCell ref="J2:N2"/>
    <mergeCell ref="A1:Y1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23" t="inlineStr">
        <is>
          <t>TPDN THEO THANG — NGUON CHUAN HNX</t>
        </is>
      </c>
    </row>
    <row r="2">
      <c r="A2" s="24" t="inlineStr"/>
    </row>
    <row r="3">
      <c r="A3" s="24" t="inlineStr">
        <is>
          <t>NGUYEN TAC (theo yeu cau): HNX = nguon chuan (so THUC TE, snapshot moi nhat). VBMA chi de cross-check.</t>
        </is>
      </c>
    </row>
    <row r="4">
      <c r="A4" s="24" t="inlineStr">
        <is>
          <t>Cua so: T7/2025 – T6/2026 (vung HNX da doi chieu khop VBMA).</t>
        </is>
      </c>
    </row>
    <row r="5">
      <c r="A5" s="24" t="inlineStr"/>
    </row>
    <row r="6">
      <c r="A6" s="25" t="inlineStr">
        <is>
          <t>NGUON DU LIEU</t>
        </is>
      </c>
    </row>
    <row r="7">
      <c r="A7" s="24" t="inlineStr">
        <is>
          <t>- HNX: bond_issuance_raw / bond_buyback_raw / bond_secondary_raw (cao 15/07/2026, o thu muc '3. Bond Market').</t>
        </is>
      </c>
    </row>
    <row r="8">
      <c r="A8" s="24" t="inlineStr">
        <is>
          <t>- Phat hanh RL = tong theo ngay_phat_hanh; Mua lai = tong TOAN BO theo ngay_mua_lai (khong loc ngay chot);</t>
        </is>
      </c>
    </row>
    <row r="9">
      <c r="A9" s="24" t="inlineStr">
        <is>
          <t xml:space="preserve">  GTGD = tong gt_ty theo ngay_gd, So phien = so ngay GD, BQ/phien = GTGD/So phien.</t>
        </is>
      </c>
    </row>
    <row r="10">
      <c r="A10" s="24" t="inlineStr"/>
    </row>
    <row r="11">
      <c r="A11" s="25" t="inlineStr">
        <is>
          <t>PHAM VI HNX vs VBMA</t>
        </is>
      </c>
    </row>
    <row r="12">
      <c r="A12" s="24" t="inlineStr">
        <is>
          <t>- HNX CHI co phat hanh RIENG LE. Phat hanh CONG CHUNG (SSC) va CHAM TRA khong co tren HNX</t>
        </is>
      </c>
    </row>
    <row r="13">
      <c r="A13" s="24" t="inlineStr">
        <is>
          <t xml:space="preserve">  -&gt; 2 nhom cot 'BO SUNG' lay tu VBMA (da ghi nhan nguon). 'Tong TPDN' = HNX RL + VBMA cong chung.</t>
        </is>
      </c>
    </row>
    <row r="14">
      <c r="A14" s="24" t="inlineStr">
        <is>
          <t>- Q1/2025 phat hanh RL gan bang 0 la THAT (dong bang hau Tet): ca quy chi 2 ma (VDS 4/3, ACB 26/3),</t>
        </is>
      </c>
    </row>
    <row r="15">
      <c r="A15" s="24" t="inlineStr">
        <is>
          <t xml:space="preserve">  T1-T2/2025 = 0 ma. Kiem chung: HNX H1-2025 = 248.664 ty vs VBMA 6T2025 = 240.664 ty (+3,3%) -&gt; HNX du.</t>
        </is>
      </c>
    </row>
    <row r="16">
      <c r="A16" s="24" t="inlineStr">
        <is>
          <t>- Do vay %YoY RL T1/T2/T3/2026 de trong vi GOC 2025 ~0 (chia ~0), KHONG phai thieu du lieu.</t>
        </is>
      </c>
    </row>
    <row r="17">
      <c r="A17" s="24" t="inlineStr">
        <is>
          <t xml:space="preserve">  %MoM chan khi goc &lt;500 ty (tranh ty le vo nghia).</t>
        </is>
      </c>
    </row>
    <row r="18">
      <c r="A18" s="24" t="inlineStr"/>
    </row>
    <row r="19">
      <c r="A19" s="25" t="inlineStr">
        <is>
          <t>KET QUA CROSS-CHECK (HNX vs VBMA, 12 thang)</t>
        </is>
      </c>
    </row>
    <row r="20">
      <c r="A20" s="24" t="inlineStr">
        <is>
          <t>- GTGD thu cap: KHOP gan tuyet doi (lech ~0%). VBMA = HNX.</t>
        </is>
      </c>
    </row>
    <row r="21">
      <c r="A21" s="24" t="inlineStr">
        <is>
          <t>- Phat hanh RL: HNX 586,618 vs VBMA(da dinh chinh) 494,876 ty — sat nhau; chenh = CBTT muon.</t>
        </is>
      </c>
    </row>
    <row r="22">
      <c r="A22" s="24" t="inlineStr">
        <is>
          <t>- Mua lai: HNX 349,725 vs VBMA 222,778 ty (+57%). VBMA KHONG dinh chinh mua lai</t>
        </is>
      </c>
    </row>
    <row r="23">
      <c r="A23" s="24" t="inlineStr">
        <is>
          <t xml:space="preserve">  nen thap hon thuc te ~40-50% -&gt; DUNG SO HNX.</t>
        </is>
      </c>
    </row>
    <row r="24">
      <c r="A24" s="24" t="inlineStr"/>
    </row>
    <row r="25">
      <c r="A25" s="25" t="inlineStr">
        <is>
          <t>TONG 12T (HNX): Phat hanh RL 586,618 | Mua lai 349,725 | GTGD thu cap 1,522,958 (ty VND).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2026-07-15T10:59:28Z</dcterms:created>
  <dcterms:modified xsi:type="dcterms:W3CDTF">2026-07-15T10:59:28Z</dcterms:modified>
</cp:coreProperties>
</file>