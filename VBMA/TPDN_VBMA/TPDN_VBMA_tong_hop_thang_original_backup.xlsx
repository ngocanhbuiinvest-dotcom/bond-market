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DN theo thang" sheetId="1" state="visible" r:id="rId1"/>
    <sheet name="Bieu do" sheetId="2" state="visible" r:id="rId2"/>
    <sheet name="Ghi chu &amp; Ngu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i val="1"/>
      <color rgb="00404040"/>
      <sz val="9"/>
    </font>
    <font>
      <name val="Calibri"/>
      <b val="1"/>
      <color rgb="00FFFFFF"/>
      <sz val="10"/>
    </font>
    <font>
      <b val="1"/>
    </font>
    <font>
      <i val="1"/>
      <color rgb="00806000"/>
      <sz val="9"/>
    </font>
    <font>
      <b val="1"/>
      <color rgb="002E5496"/>
      <sz val="12"/>
    </font>
    <font>
      <color rgb="00000000"/>
      <sz val="10"/>
    </font>
    <font>
      <b val="1"/>
      <color rgb="002E5496"/>
      <sz val="10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3" fontId="4" fillId="5" borderId="1" applyAlignment="1" pivotButton="0" quotePrefix="0" xfId="0">
      <alignment horizontal="right"/>
    </xf>
    <xf numFmtId="0" fontId="5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Gia tri phat hanh TPDN theo thang (ty dong)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'Bieu do'!B1</f>
            </strRef>
          </tx>
          <spPr>
            <a:ln>
              <a:prstDash val="solid"/>
            </a:ln>
          </spPr>
          <cat>
            <numRef>
              <f>'Bieu do'!$A$2:$A$13</f>
            </numRef>
          </cat>
          <val>
            <numRef>
              <f>'Bieu do'!$B$2:$B$13</f>
            </numRef>
          </val>
        </ser>
        <ser>
          <idx val="1"/>
          <order val="1"/>
          <tx>
            <strRef>
              <f>'Bieu do'!C1</f>
            </strRef>
          </tx>
          <spPr>
            <a:ln>
              <a:prstDash val="solid"/>
            </a:ln>
          </spPr>
          <cat>
            <numRef>
              <f>'Bieu do'!$A$2:$A$13</f>
            </numRef>
          </cat>
          <val>
            <numRef>
              <f>'Bieu do'!$C$2:$C$13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Gia tri giao dich thu cap TPDN rieng le (ty dong)</a:t>
            </a:r>
          </a:p>
        </rich>
      </tx>
    </title>
    <plotArea>
      <lineChart>
        <grouping val="standard"/>
        <ser>
          <idx val="0"/>
          <order val="0"/>
          <tx>
            <strRef>
              <f>'Bieu do'!E1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'Bieu do'!$A$2:$A$13</f>
            </numRef>
          </cat>
          <val>
            <numRef>
              <f>'Bieu do'!$E$2:$E$13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72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3" customWidth="1" min="4" max="4"/>
    <col width="8" customWidth="1" min="5" max="5"/>
    <col width="14" customWidth="1" min="6" max="6"/>
    <col width="8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3" customWidth="1" min="13" max="13"/>
    <col width="15" customWidth="1" min="14" max="14"/>
    <col width="11" customWidth="1" min="15" max="15"/>
    <col width="13" customWidth="1" min="16" max="16"/>
    <col width="14" customWidth="1" min="17" max="17"/>
    <col width="10" customWidth="1" min="18" max="18"/>
    <col width="11" customWidth="1" min="19" max="19"/>
    <col width="11" customWidth="1" min="20" max="20"/>
    <col width="16" customWidth="1" min="21" max="21"/>
  </cols>
  <sheetData>
    <row r="1" ht="26" customHeight="1">
      <c r="A1" s="1" t="inlineStr">
        <is>
          <t>TONG HOP TRAI PHIEU DOANH NGHIEP (TPDN) - Nguon: Bao cao thang VBMA (T7/2025 - T6/2026)</t>
        </is>
      </c>
    </row>
    <row r="2" ht="22" customHeight="1">
      <c r="A2" s="2" t="inlineStr">
        <is>
          <t>Don vi gia tri: ty dong (VND). So lieu phat hanh/GDthu cap lay tu Phu luc 1; so dot, mua lai, cham tra tu trang 'Trai phieu doanh nghiep'. Moi dong = so lieu cong bo tai chinh bao cao thang do.</t>
        </is>
      </c>
    </row>
    <row r="3" ht="40" customHeight="1">
      <c r="A3" s="3" t="inlineStr">
        <is>
          <t>Thang</t>
        </is>
      </c>
      <c r="B3" s="3" t="inlineStr">
        <is>
          <t>Ky bao cao</t>
        </is>
      </c>
      <c r="C3" s="3" t="inlineStr">
        <is>
          <t>Ngay chot so lieu</t>
        </is>
      </c>
      <c r="D3" s="3" t="inlineStr">
        <is>
          <t>PH Rieng le (ty)</t>
        </is>
      </c>
      <c r="E3" s="3" t="inlineStr">
        <is>
          <t>So dot RL</t>
        </is>
      </c>
      <c r="F3" s="3" t="inlineStr">
        <is>
          <t>PH Cong chung (ty)</t>
        </is>
      </c>
      <c r="G3" s="3" t="inlineStr">
        <is>
          <t>So dot CC</t>
        </is>
      </c>
      <c r="H3" s="3" t="inlineStr">
        <is>
          <t>PH Tong TPDN (ty)</t>
        </is>
      </c>
      <c r="I3" s="3" t="inlineStr">
        <is>
          <t>%MoM Tong</t>
        </is>
      </c>
      <c r="J3" s="3" t="inlineStr">
        <is>
          <t>%YoY Tong</t>
        </is>
      </c>
      <c r="K3" s="3" t="inlineStr">
        <is>
          <t>Luy ke RL (ty)</t>
        </is>
      </c>
      <c r="L3" s="3" t="inlineStr">
        <is>
          <t>Luy ke CC (ty)</t>
        </is>
      </c>
      <c r="M3" s="3" t="inlineStr">
        <is>
          <t>Luy ke Tong (ty)</t>
        </is>
      </c>
      <c r="N3" s="3" t="inlineStr">
        <is>
          <t>Mua lai truoc han (ty)</t>
        </is>
      </c>
      <c r="O3" s="3" t="inlineStr">
        <is>
          <t>So ma cham tra</t>
        </is>
      </c>
      <c r="P3" s="3" t="inlineStr">
        <is>
          <t>Goc cham tra (ty)</t>
        </is>
      </c>
      <c r="Q3" s="3" t="inlineStr">
        <is>
          <t>GTGD thu cap (ty)</t>
        </is>
      </c>
      <c r="R3" s="3" t="inlineStr">
        <is>
          <t>BQ/phien (ty)</t>
        </is>
      </c>
      <c r="S3" s="3" t="inlineStr">
        <is>
          <t>%MoM thu cap</t>
        </is>
      </c>
      <c r="T3" s="3" t="inlineStr">
        <is>
          <t>%YoY thu cap</t>
        </is>
      </c>
      <c r="U3" s="3" t="inlineStr">
        <is>
          <t>Luy ke GTGD thu cap (ty)</t>
        </is>
      </c>
    </row>
    <row r="4">
      <c r="A4" s="4" t="inlineStr">
        <is>
          <t>2025-07</t>
        </is>
      </c>
      <c r="B4" s="4" t="inlineStr">
        <is>
          <t>T7/2025</t>
        </is>
      </c>
      <c r="C4" s="4" t="inlineStr">
        <is>
          <t>31/07/2025</t>
        </is>
      </c>
      <c r="D4" s="5" t="n">
        <v>27294</v>
      </c>
      <c r="E4" s="5" t="n">
        <v>31</v>
      </c>
      <c r="F4" s="5" t="n">
        <v>2649</v>
      </c>
      <c r="G4" s="5" t="n">
        <v>1</v>
      </c>
      <c r="H4" s="5" t="n">
        <v>29943</v>
      </c>
      <c r="I4" s="6" t="n">
        <v>-0.76</v>
      </c>
      <c r="J4" s="6" t="n">
        <v>-0.27</v>
      </c>
      <c r="K4" s="5" t="n">
        <v>267958</v>
      </c>
      <c r="L4" s="5" t="n">
        <v>30553</v>
      </c>
      <c r="M4" s="5" t="n">
        <v>298511</v>
      </c>
      <c r="N4" s="5" t="n">
        <v>16054</v>
      </c>
      <c r="O4" s="5" t="n">
        <v>7</v>
      </c>
      <c r="P4" s="5" t="n">
        <v>881</v>
      </c>
      <c r="Q4" s="5" t="n">
        <v>132027</v>
      </c>
      <c r="R4" s="5" t="n">
        <v>5740</v>
      </c>
      <c r="S4" s="6" t="n">
        <v>0.0231</v>
      </c>
      <c r="T4" s="6" t="n">
        <v>0.5639999999999999</v>
      </c>
      <c r="U4" s="5" t="n">
        <v>747250</v>
      </c>
    </row>
    <row r="5">
      <c r="A5" s="7" t="inlineStr">
        <is>
          <t>2025-08</t>
        </is>
      </c>
      <c r="B5" s="7" t="inlineStr">
        <is>
          <t>T8/2025</t>
        </is>
      </c>
      <c r="C5" s="7" t="inlineStr">
        <is>
          <t>30/08/2025</t>
        </is>
      </c>
      <c r="D5" s="8" t="n">
        <v>39357</v>
      </c>
      <c r="E5" s="8" t="n">
        <v>37</v>
      </c>
      <c r="F5" s="8" t="n">
        <v>6332</v>
      </c>
      <c r="G5" s="8" t="n">
        <v>6</v>
      </c>
      <c r="H5" s="8" t="n">
        <v>45689</v>
      </c>
      <c r="I5" s="9" t="n">
        <v>0.01</v>
      </c>
      <c r="J5" s="9" t="n">
        <v>-0.27</v>
      </c>
      <c r="K5" s="8" t="n">
        <v>311725</v>
      </c>
      <c r="L5" s="8" t="n">
        <v>47785</v>
      </c>
      <c r="M5" s="8" t="n">
        <v>359510</v>
      </c>
      <c r="N5" s="8" t="n">
        <v>27032</v>
      </c>
      <c r="O5" s="8" t="n">
        <v>4</v>
      </c>
      <c r="P5" s="8" t="n">
        <v>313</v>
      </c>
      <c r="Q5" s="8" t="n">
        <v>109288</v>
      </c>
      <c r="R5" s="8" t="n">
        <v>5204</v>
      </c>
      <c r="S5" s="9" t="n">
        <v>-0.1722</v>
      </c>
      <c r="T5" s="9" t="n">
        <v>0.508</v>
      </c>
      <c r="U5" s="8" t="n">
        <v>856538</v>
      </c>
    </row>
    <row r="6">
      <c r="A6" s="4" t="inlineStr">
        <is>
          <t>2025-09</t>
        </is>
      </c>
      <c r="B6" s="4" t="inlineStr">
        <is>
          <t>T9/2025</t>
        </is>
      </c>
      <c r="C6" s="4" t="inlineStr">
        <is>
          <t>30/09/2025</t>
        </is>
      </c>
      <c r="D6" s="5" t="n">
        <v>23204</v>
      </c>
      <c r="E6" s="5" t="n">
        <v>26</v>
      </c>
      <c r="F6" s="5" t="n">
        <v>499</v>
      </c>
      <c r="G6" s="5" t="n">
        <v>1</v>
      </c>
      <c r="H6" s="5" t="n">
        <v>23703</v>
      </c>
      <c r="I6" s="6" t="n">
        <v>-0.61</v>
      </c>
      <c r="J6" s="6" t="n">
        <v>-0.58</v>
      </c>
      <c r="K6" s="5" t="n">
        <v>349603</v>
      </c>
      <c r="L6" s="5" t="n">
        <v>48284</v>
      </c>
      <c r="M6" s="5" t="n">
        <v>397887</v>
      </c>
      <c r="N6" s="5" t="n">
        <v>19509</v>
      </c>
      <c r="O6" s="5" t="n">
        <v>5</v>
      </c>
      <c r="P6" s="5" t="n">
        <v>150</v>
      </c>
      <c r="Q6" s="5" t="n">
        <v>150766</v>
      </c>
      <c r="R6" s="5" t="n">
        <v>7538</v>
      </c>
      <c r="S6" s="6" t="n">
        <v>0.38</v>
      </c>
      <c r="T6" s="6" t="n">
        <v>0.718</v>
      </c>
      <c r="U6" s="5" t="n">
        <v>1007304</v>
      </c>
    </row>
    <row r="7">
      <c r="A7" s="7" t="inlineStr">
        <is>
          <t>2025-10</t>
        </is>
      </c>
      <c r="B7" s="7" t="inlineStr">
        <is>
          <t>T10/2025</t>
        </is>
      </c>
      <c r="C7" s="7" t="inlineStr">
        <is>
          <t>31/10/2025</t>
        </is>
      </c>
      <c r="D7" s="8" t="n">
        <v>54893</v>
      </c>
      <c r="E7" s="8" t="n">
        <v>38</v>
      </c>
      <c r="F7" s="8" t="n">
        <v>2299</v>
      </c>
      <c r="G7" s="8" t="n">
        <v>4</v>
      </c>
      <c r="H7" s="8" t="n">
        <v>57192</v>
      </c>
      <c r="I7" s="9" t="n">
        <v>0.13</v>
      </c>
      <c r="J7" s="9" t="n">
        <v>0.46</v>
      </c>
      <c r="K7" s="8" t="n">
        <v>431361</v>
      </c>
      <c r="L7" s="8" t="n">
        <v>50583</v>
      </c>
      <c r="M7" s="8" t="n">
        <v>481944</v>
      </c>
      <c r="N7" s="8" t="n">
        <v>9948</v>
      </c>
      <c r="O7" s="8" t="n">
        <v>5</v>
      </c>
      <c r="P7" s="8" t="n">
        <v>714</v>
      </c>
      <c r="Q7" s="8" t="n">
        <v>101755</v>
      </c>
      <c r="R7" s="8" t="n">
        <v>4424</v>
      </c>
      <c r="S7" s="9" t="n">
        <v>-0.3251</v>
      </c>
      <c r="T7" s="9" t="n">
        <v>-0.161</v>
      </c>
      <c r="U7" s="8" t="n">
        <v>1109059</v>
      </c>
    </row>
    <row r="8">
      <c r="A8" s="4" t="inlineStr">
        <is>
          <t>2025-11</t>
        </is>
      </c>
      <c r="B8" s="4" t="inlineStr">
        <is>
          <t>T11/2025</t>
        </is>
      </c>
      <c r="C8" s="4" t="inlineStr">
        <is>
          <t>30/11/2025</t>
        </is>
      </c>
      <c r="D8" s="5" t="n">
        <v>19608</v>
      </c>
      <c r="E8" s="5" t="n">
        <v>24</v>
      </c>
      <c r="F8" s="5" t="n">
        <v>0</v>
      </c>
      <c r="G8" s="5" t="n">
        <v>0</v>
      </c>
      <c r="H8" s="5" t="n">
        <v>19608</v>
      </c>
      <c r="I8" s="6" t="n">
        <v>-0.71</v>
      </c>
      <c r="J8" s="6" t="n">
        <v>-0.46</v>
      </c>
      <c r="K8" s="5" t="n">
        <v>460679</v>
      </c>
      <c r="L8" s="5" t="n">
        <v>50583</v>
      </c>
      <c r="M8" s="5" t="n">
        <v>511262</v>
      </c>
      <c r="N8" s="5" t="n">
        <v>11144</v>
      </c>
      <c r="O8" s="5" t="n">
        <v>3</v>
      </c>
      <c r="P8" s="5" t="n">
        <v>287</v>
      </c>
      <c r="Q8" s="5" t="n">
        <v>110470</v>
      </c>
      <c r="R8" s="5" t="n">
        <v>5524</v>
      </c>
      <c r="S8" s="6" t="n">
        <v>0.08560000000000001</v>
      </c>
      <c r="T8" s="6" t="n">
        <v>0.158</v>
      </c>
      <c r="U8" s="5" t="n">
        <v>1219529</v>
      </c>
    </row>
    <row r="9">
      <c r="A9" s="7" t="inlineStr">
        <is>
          <t>2025-12</t>
        </is>
      </c>
      <c r="B9" s="7" t="inlineStr">
        <is>
          <t>T12/2025</t>
        </is>
      </c>
      <c r="C9" s="7" t="inlineStr">
        <is>
          <t>31/12/2025</t>
        </is>
      </c>
      <c r="D9" s="8" t="n">
        <v>58667</v>
      </c>
      <c r="E9" s="8" t="n">
        <v>62</v>
      </c>
      <c r="F9" s="8" t="n">
        <v>3771</v>
      </c>
      <c r="G9" s="8" t="n">
        <v>6</v>
      </c>
      <c r="H9" s="8" t="n">
        <v>62438</v>
      </c>
      <c r="I9" s="9" t="n">
        <v>0.77</v>
      </c>
      <c r="J9" s="9" t="n">
        <v>-0.24</v>
      </c>
      <c r="K9" s="8" t="n">
        <v>534980</v>
      </c>
      <c r="L9" s="8" t="n">
        <v>54354</v>
      </c>
      <c r="M9" s="8" t="n">
        <v>589334</v>
      </c>
      <c r="N9" s="8" t="n">
        <v>35820</v>
      </c>
      <c r="O9" s="8" t="n">
        <v>3</v>
      </c>
      <c r="P9" s="8" t="n">
        <v>110</v>
      </c>
      <c r="Q9" s="8" t="n">
        <v>176770</v>
      </c>
      <c r="R9" s="8" t="n">
        <v>7686</v>
      </c>
      <c r="S9" s="9" t="n">
        <v>0.6002000000000001</v>
      </c>
      <c r="T9" s="9" t="n">
        <v>0.341</v>
      </c>
      <c r="U9" s="8" t="n">
        <v>1396299</v>
      </c>
    </row>
    <row r="10">
      <c r="A10" s="4" t="inlineStr">
        <is>
          <t>2026-01</t>
        </is>
      </c>
      <c r="B10" s="4" t="inlineStr">
        <is>
          <t>T1/2026</t>
        </is>
      </c>
      <c r="C10" s="4" t="inlineStr">
        <is>
          <t>31/01/2026</t>
        </is>
      </c>
      <c r="D10" s="5" t="n">
        <v>190</v>
      </c>
      <c r="E10" s="5" t="n">
        <v>1</v>
      </c>
      <c r="F10" s="5" t="n">
        <v>3521</v>
      </c>
      <c r="G10" s="5" t="n">
        <v>3</v>
      </c>
      <c r="H10" s="5" t="n">
        <v>3711</v>
      </c>
      <c r="I10" s="6" t="n">
        <v>-0.96</v>
      </c>
      <c r="J10" s="6" t="n">
        <v>-0.33</v>
      </c>
      <c r="K10" s="5" t="n">
        <v>190</v>
      </c>
      <c r="L10" s="5" t="n">
        <v>3521</v>
      </c>
      <c r="M10" s="5" t="n">
        <v>3711</v>
      </c>
      <c r="N10" s="5" t="n">
        <v>384</v>
      </c>
      <c r="O10" s="5" t="n">
        <v>4</v>
      </c>
      <c r="P10" s="5" t="n">
        <v>746</v>
      </c>
      <c r="Q10" s="5" t="n">
        <v>108730</v>
      </c>
      <c r="R10" s="5" t="n">
        <v>5437</v>
      </c>
      <c r="S10" s="6" t="n">
        <v>-0.3849</v>
      </c>
      <c r="T10" s="6" t="n">
        <v>0.357</v>
      </c>
      <c r="U10" s="5" t="n">
        <v>108730</v>
      </c>
    </row>
    <row r="11">
      <c r="A11" s="7" t="inlineStr">
        <is>
          <t>2026-02</t>
        </is>
      </c>
      <c r="B11" s="7" t="inlineStr">
        <is>
          <t>T2/2026</t>
        </is>
      </c>
      <c r="C11" s="7" t="inlineStr">
        <is>
          <t>28/02/2026</t>
        </is>
      </c>
      <c r="D11" s="8" t="n">
        <v>80</v>
      </c>
      <c r="E11" s="8" t="n">
        <v>1</v>
      </c>
      <c r="F11" s="8" t="n">
        <v>3301</v>
      </c>
      <c r="G11" s="8" t="n">
        <v>3</v>
      </c>
      <c r="H11" s="8" t="n">
        <v>3381</v>
      </c>
      <c r="I11" s="9" t="n">
        <v>-0.32</v>
      </c>
      <c r="J11" s="9" t="n">
        <v>0.44</v>
      </c>
      <c r="K11" s="8" t="n">
        <v>270</v>
      </c>
      <c r="L11" s="8" t="n">
        <v>8223</v>
      </c>
      <c r="M11" s="8" t="n">
        <v>8492</v>
      </c>
      <c r="N11" s="8" t="n">
        <v>1749</v>
      </c>
      <c r="O11" s="8" t="n">
        <v>3</v>
      </c>
      <c r="P11" s="8" t="n">
        <v>490</v>
      </c>
      <c r="Q11" s="8" t="n">
        <v>63184</v>
      </c>
      <c r="R11" s="8" t="n">
        <v>4212</v>
      </c>
      <c r="S11" s="9" t="n">
        <v>-0.4189</v>
      </c>
      <c r="T11" s="9" t="n">
        <v>-0.14</v>
      </c>
      <c r="U11" s="8" t="n">
        <v>171914</v>
      </c>
    </row>
    <row r="12">
      <c r="A12" s="4" t="inlineStr">
        <is>
          <t>2026-03</t>
        </is>
      </c>
      <c r="B12" s="4" t="inlineStr">
        <is>
          <t>T3/2026</t>
        </is>
      </c>
      <c r="C12" s="4" t="inlineStr">
        <is>
          <t>31/03/2026</t>
        </is>
      </c>
      <c r="D12" s="5" t="n">
        <v>11616</v>
      </c>
      <c r="E12" s="5" t="n">
        <v>3</v>
      </c>
      <c r="F12" s="5" t="n">
        <v>4695</v>
      </c>
      <c r="G12" s="5" t="n">
        <v>2</v>
      </c>
      <c r="H12" s="5" t="n">
        <v>16310</v>
      </c>
      <c r="I12" s="6" t="n">
        <v>3.82</v>
      </c>
      <c r="J12" s="6" t="n">
        <v>-0.05</v>
      </c>
      <c r="K12" s="5" t="n">
        <v>11885</v>
      </c>
      <c r="L12" s="5" t="n">
        <v>12917</v>
      </c>
      <c r="M12" s="5" t="n">
        <v>24802</v>
      </c>
      <c r="N12" s="5" t="n">
        <v>6298</v>
      </c>
      <c r="O12" s="5" t="n">
        <v>10</v>
      </c>
      <c r="P12" s="5" t="n">
        <v>2205</v>
      </c>
      <c r="Q12" s="5" t="n">
        <v>151283</v>
      </c>
      <c r="R12" s="5" t="n">
        <v>6877</v>
      </c>
      <c r="S12" s="6" t="n">
        <v>1.3943</v>
      </c>
      <c r="T12" s="6" t="n">
        <v>0.252</v>
      </c>
      <c r="U12" s="5" t="n">
        <v>323197</v>
      </c>
    </row>
    <row r="13">
      <c r="A13" s="7" t="inlineStr">
        <is>
          <t>2026-04</t>
        </is>
      </c>
      <c r="B13" s="7" t="inlineStr">
        <is>
          <t>T4/2026</t>
        </is>
      </c>
      <c r="C13" s="7" t="inlineStr">
        <is>
          <t>29/04/2026</t>
        </is>
      </c>
      <c r="D13" s="8" t="n">
        <v>35235</v>
      </c>
      <c r="E13" s="8" t="n">
        <v>17</v>
      </c>
      <c r="F13" s="8" t="n">
        <v>1000</v>
      </c>
      <c r="G13" s="8" t="n">
        <v>1</v>
      </c>
      <c r="H13" s="8" t="n">
        <v>36235</v>
      </c>
      <c r="I13" s="9" t="n">
        <v>0.09</v>
      </c>
      <c r="J13" s="9" t="n">
        <v>-0.26</v>
      </c>
      <c r="K13" s="8" t="n">
        <v>62540</v>
      </c>
      <c r="L13" s="8" t="n">
        <v>15334</v>
      </c>
      <c r="M13" s="8" t="n">
        <v>77874</v>
      </c>
      <c r="N13" s="8" t="n">
        <v>16663</v>
      </c>
      <c r="O13" s="8" t="n">
        <v>4</v>
      </c>
      <c r="P13" s="8" t="n">
        <v>120</v>
      </c>
      <c r="Q13" s="8" t="n">
        <v>131020</v>
      </c>
      <c r="R13" s="8" t="n">
        <v>6551</v>
      </c>
      <c r="S13" s="9" t="n">
        <v>-0.1341</v>
      </c>
      <c r="T13" s="9" t="n">
        <v>0.304</v>
      </c>
      <c r="U13" s="8" t="n">
        <v>454247</v>
      </c>
    </row>
    <row r="14">
      <c r="A14" s="4" t="inlineStr">
        <is>
          <t>2026-05</t>
        </is>
      </c>
      <c r="B14" s="4" t="inlineStr">
        <is>
          <t>T5/2026</t>
        </is>
      </c>
      <c r="C14" s="4" t="inlineStr">
        <is>
          <t>29/05/2026</t>
        </is>
      </c>
      <c r="D14" s="5" t="n">
        <v>36263</v>
      </c>
      <c r="E14" s="5" t="n">
        <v>29</v>
      </c>
      <c r="F14" s="5" t="n">
        <v>3999</v>
      </c>
      <c r="G14" s="5" t="n">
        <v>4</v>
      </c>
      <c r="H14" s="5" t="n">
        <v>40262</v>
      </c>
      <c r="I14" s="6" t="n">
        <v>0.21</v>
      </c>
      <c r="J14" s="6" t="n">
        <v>-0.42</v>
      </c>
      <c r="K14" s="5" t="n">
        <v>107018</v>
      </c>
      <c r="L14" s="5" t="n">
        <v>20333</v>
      </c>
      <c r="M14" s="5" t="n">
        <v>127350</v>
      </c>
      <c r="N14" s="5" t="n">
        <v>19780</v>
      </c>
      <c r="O14" s="5" t="n">
        <v>2</v>
      </c>
      <c r="P14" s="5" t="n">
        <v>125</v>
      </c>
      <c r="Q14" s="5" t="n">
        <v>120129</v>
      </c>
      <c r="R14" s="5" t="n">
        <v>6006</v>
      </c>
      <c r="S14" s="6" t="n">
        <v>-0.08310000000000001</v>
      </c>
      <c r="T14" s="6" t="n">
        <v>0.078</v>
      </c>
      <c r="U14" s="5" t="n">
        <v>574376</v>
      </c>
    </row>
    <row r="15">
      <c r="A15" s="7" t="inlineStr">
        <is>
          <t>2026-06</t>
        </is>
      </c>
      <c r="B15" s="7" t="inlineStr">
        <is>
          <t>T6/2026</t>
        </is>
      </c>
      <c r="C15" s="7" t="inlineStr">
        <is>
          <t>30/06/2026</t>
        </is>
      </c>
      <c r="D15" s="8" t="n">
        <v>40376</v>
      </c>
      <c r="E15" s="8" t="n">
        <v>39</v>
      </c>
      <c r="F15" s="8" t="n">
        <v>3500</v>
      </c>
      <c r="G15" s="8" t="n">
        <v>2</v>
      </c>
      <c r="H15" s="8" t="n">
        <v>43876</v>
      </c>
      <c r="I15" s="9" t="n">
        <v>-0.23</v>
      </c>
      <c r="J15" s="9" t="n">
        <v>-0.65</v>
      </c>
      <c r="K15" s="8" t="n">
        <v>163083</v>
      </c>
      <c r="L15" s="8" t="n">
        <v>24833</v>
      </c>
      <c r="M15" s="8" t="n">
        <v>187915</v>
      </c>
      <c r="N15" s="8" t="n">
        <v>58397</v>
      </c>
      <c r="O15" s="8" t="n">
        <v>2</v>
      </c>
      <c r="P15" s="8" t="n">
        <v>3000</v>
      </c>
      <c r="Q15" s="8" t="n">
        <v>168576</v>
      </c>
      <c r="R15" s="8" t="n">
        <v>7662</v>
      </c>
      <c r="S15" s="9" t="n">
        <v>0.4033</v>
      </c>
      <c r="T15" s="9" t="n">
        <v>0.287</v>
      </c>
      <c r="U15" s="8" t="n">
        <v>742952</v>
      </c>
    </row>
    <row r="16">
      <c r="A16" s="10" t="inlineStr">
        <is>
          <t>Tong 12 thang</t>
        </is>
      </c>
      <c r="B16" s="11" t="n"/>
      <c r="C16" s="11" t="n"/>
      <c r="D16" s="12">
        <f>SUM(D4:D15)</f>
        <v/>
      </c>
      <c r="E16" s="12">
        <f>SUM(E4:E15)</f>
        <v/>
      </c>
      <c r="F16" s="12">
        <f>SUM(F4:F15)</f>
        <v/>
      </c>
      <c r="G16" s="12">
        <f>SUM(G4:G15)</f>
        <v/>
      </c>
      <c r="H16" s="12">
        <f>SUM(H4:H15)</f>
        <v/>
      </c>
      <c r="I16" s="11" t="n"/>
      <c r="J16" s="11" t="n"/>
      <c r="K16" s="11" t="n"/>
      <c r="L16" s="11" t="n"/>
      <c r="M16" s="11" t="n"/>
      <c r="N16" s="12">
        <f>SUM(N4:N15)</f>
        <v/>
      </c>
      <c r="O16" s="12">
        <f>SUM(O4:O15)</f>
        <v/>
      </c>
      <c r="P16" s="11" t="n"/>
      <c r="Q16" s="12">
        <f>SUM(Q4:Q15)</f>
        <v/>
      </c>
      <c r="R16" s="11" t="n"/>
      <c r="S16" s="11" t="n"/>
      <c r="T16" s="11" t="n"/>
      <c r="U16" s="11" t="n"/>
    </row>
    <row r="18" ht="42" customHeight="1">
      <c r="A18" s="13" t="inlineStr">
        <is>
          <t>Luu y: VBMA cap nhat so lieu theo ngay cong bo tren HNX nen cac thang truoc co the duoc dieu chinh tang o bao cao sau. Vi vay 'Luy ke Tong' cuoi ky (vd 6T2026 = 187,915) &gt; tong 12 phat hanh 'nhu cong bo lan dau'. Cot %MoM/%YoY lay dung theo so in trong bao cao (tinh tren so da dieu chinh cua ky truoc).</t>
        </is>
      </c>
    </row>
  </sheetData>
  <mergeCells count="3">
    <mergeCell ref="A1:U1"/>
    <mergeCell ref="A18:U18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Thang</t>
        </is>
      </c>
      <c r="B1" s="14" t="inlineStr">
        <is>
          <t>PH Rieng le</t>
        </is>
      </c>
      <c r="C1" s="14" t="inlineStr">
        <is>
          <t>PH Cong chung</t>
        </is>
      </c>
      <c r="D1" s="14" t="inlineStr">
        <is>
          <t>PH Tong TPDN</t>
        </is>
      </c>
      <c r="E1" s="14" t="inlineStr">
        <is>
          <t>GTGD thu cap</t>
        </is>
      </c>
    </row>
    <row r="2">
      <c r="A2" t="inlineStr">
        <is>
          <t>2025-07</t>
        </is>
      </c>
      <c r="B2" t="n">
        <v>27294</v>
      </c>
      <c r="C2" t="n">
        <v>2649</v>
      </c>
      <c r="D2" t="n">
        <v>29943</v>
      </c>
      <c r="E2" t="n">
        <v>132027</v>
      </c>
    </row>
    <row r="3">
      <c r="A3" t="inlineStr">
        <is>
          <t>2025-08</t>
        </is>
      </c>
      <c r="B3" t="n">
        <v>39357</v>
      </c>
      <c r="C3" t="n">
        <v>6332</v>
      </c>
      <c r="D3" t="n">
        <v>45689</v>
      </c>
      <c r="E3" t="n">
        <v>109288</v>
      </c>
    </row>
    <row r="4">
      <c r="A4" t="inlineStr">
        <is>
          <t>2025-09</t>
        </is>
      </c>
      <c r="B4" t="n">
        <v>23204</v>
      </c>
      <c r="C4" t="n">
        <v>499</v>
      </c>
      <c r="D4" t="n">
        <v>23703</v>
      </c>
      <c r="E4" t="n">
        <v>150766</v>
      </c>
    </row>
    <row r="5">
      <c r="A5" t="inlineStr">
        <is>
          <t>2025-10</t>
        </is>
      </c>
      <c r="B5" t="n">
        <v>54893</v>
      </c>
      <c r="C5" t="n">
        <v>2299</v>
      </c>
      <c r="D5" t="n">
        <v>57192</v>
      </c>
      <c r="E5" t="n">
        <v>101755</v>
      </c>
    </row>
    <row r="6">
      <c r="A6" t="inlineStr">
        <is>
          <t>2025-11</t>
        </is>
      </c>
      <c r="B6" t="n">
        <v>19608</v>
      </c>
      <c r="C6" t="n">
        <v>0</v>
      </c>
      <c r="D6" t="n">
        <v>19608</v>
      </c>
      <c r="E6" t="n">
        <v>110470</v>
      </c>
    </row>
    <row r="7">
      <c r="A7" t="inlineStr">
        <is>
          <t>2025-12</t>
        </is>
      </c>
      <c r="B7" t="n">
        <v>58667</v>
      </c>
      <c r="C7" t="n">
        <v>3771</v>
      </c>
      <c r="D7" t="n">
        <v>62438</v>
      </c>
      <c r="E7" t="n">
        <v>176770</v>
      </c>
    </row>
    <row r="8">
      <c r="A8" t="inlineStr">
        <is>
          <t>2026-01</t>
        </is>
      </c>
      <c r="B8" t="n">
        <v>190</v>
      </c>
      <c r="C8" t="n">
        <v>3521</v>
      </c>
      <c r="D8" t="n">
        <v>3711</v>
      </c>
      <c r="E8" t="n">
        <v>108730</v>
      </c>
    </row>
    <row r="9">
      <c r="A9" t="inlineStr">
        <is>
          <t>2026-02</t>
        </is>
      </c>
      <c r="B9" t="n">
        <v>80</v>
      </c>
      <c r="C9" t="n">
        <v>3301</v>
      </c>
      <c r="D9" t="n">
        <v>3381</v>
      </c>
      <c r="E9" t="n">
        <v>63184</v>
      </c>
    </row>
    <row r="10">
      <c r="A10" t="inlineStr">
        <is>
          <t>2026-03</t>
        </is>
      </c>
      <c r="B10" t="n">
        <v>11616</v>
      </c>
      <c r="C10" t="n">
        <v>4695</v>
      </c>
      <c r="D10" t="n">
        <v>16310</v>
      </c>
      <c r="E10" t="n">
        <v>151283</v>
      </c>
    </row>
    <row r="11">
      <c r="A11" t="inlineStr">
        <is>
          <t>2026-04</t>
        </is>
      </c>
      <c r="B11" t="n">
        <v>35235</v>
      </c>
      <c r="C11" t="n">
        <v>1000</v>
      </c>
      <c r="D11" t="n">
        <v>36235</v>
      </c>
      <c r="E11" t="n">
        <v>131020</v>
      </c>
    </row>
    <row r="12">
      <c r="A12" t="inlineStr">
        <is>
          <t>2026-05</t>
        </is>
      </c>
      <c r="B12" t="n">
        <v>36263</v>
      </c>
      <c r="C12" t="n">
        <v>3999</v>
      </c>
      <c r="D12" t="n">
        <v>40262</v>
      </c>
      <c r="E12" t="n">
        <v>120129</v>
      </c>
    </row>
    <row r="13">
      <c r="A13" t="inlineStr">
        <is>
          <t>2026-06</t>
        </is>
      </c>
      <c r="B13" t="n">
        <v>40376</v>
      </c>
      <c r="C13" t="n">
        <v>3500</v>
      </c>
      <c r="D13" t="n">
        <v>43876</v>
      </c>
      <c r="E13" t="n">
        <v>168576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TONG HOP DU LIEU TRAI PHIEU DOANH NGHIEP (TPDN) TU BAO CAO THANG VBMA</t>
        </is>
      </c>
    </row>
    <row r="2">
      <c r="A2" s="16" t="inlineStr"/>
    </row>
    <row r="3">
      <c r="A3" s="16" t="inlineStr">
        <is>
          <t>Nguon: Hiep hoi Thi truong Trai phieu Viet Nam (VBMA) - https://vbma.org.vn/vi/reports/monthly</t>
        </is>
      </c>
    </row>
    <row r="4">
      <c r="A4" s="16" t="inlineStr">
        <is>
          <t>Pham vi: 12 bao cao thang, tu Bao cao thang 7/2025 den Bao cao thang 6/2026.</t>
        </is>
      </c>
    </row>
    <row r="5">
      <c r="A5" s="16" t="inlineStr">
        <is>
          <t>VBMA tong hop tu HNX va SSC. Don vi gia tri: ty dong (VND).</t>
        </is>
      </c>
    </row>
    <row r="6">
      <c r="A6" s="16" t="inlineStr"/>
    </row>
    <row r="7">
      <c r="A7" s="17" t="inlineStr">
        <is>
          <t>VI TRI DU LIEU TRONG MOI BAO CAO PDF:</t>
        </is>
      </c>
    </row>
    <row r="8">
      <c r="A8" s="16" t="inlineStr">
        <is>
          <t>- Phu luc 1 (Thi truong so cap, thu cap TPCP va TPDN): gia tri PH Rieng le / Cong chung / Tong,</t>
        </is>
      </c>
    </row>
    <row r="9">
      <c r="A9" s="16" t="inlineStr">
        <is>
          <t xml:space="preserve">  %MoM, %YoY, luy ke YTD, va gia tri giao dich thu cap TPDN.</t>
        </is>
      </c>
    </row>
    <row r="10">
      <c r="A10" s="16" t="inlineStr">
        <is>
          <t>- Trang 'Trai phieu doanh nghiep': so dot phat hanh, gia tri mua lai truoc han,</t>
        </is>
      </c>
    </row>
    <row r="11">
      <c r="A11" s="16" t="inlineStr">
        <is>
          <t xml:space="preserve">  so ma cham tra goc/lai, binh quan giao dich/phien.</t>
        </is>
      </c>
    </row>
    <row r="12">
      <c r="A12" s="16" t="inlineStr"/>
    </row>
    <row r="13">
      <c r="A13" s="17" t="inlineStr">
        <is>
          <t>GIAI THICH COT:</t>
        </is>
      </c>
    </row>
    <row r="14">
      <c r="A14" s="16" t="inlineStr">
        <is>
          <t>PH Rieng le / Cong chung / Tong = gia tri phat hanh trong thang (rieng le = private placement,</t>
        </is>
      </c>
    </row>
    <row r="15">
      <c r="A15" s="16" t="inlineStr">
        <is>
          <t xml:space="preserve">   cong chung = phat hanh ra cong chung / niem yet).</t>
        </is>
      </c>
    </row>
    <row r="16">
      <c r="A16" s="16" t="inlineStr">
        <is>
          <t>Luy ke = gia tri phat hanh cong don tu dau nam den het thang (YTD), nhu cong bo trong bao cao do.</t>
        </is>
      </c>
    </row>
    <row r="17">
      <c r="A17" s="16" t="inlineStr">
        <is>
          <t>Mua lai truoc han = gia tri TPDN doanh nghiep mua lai truoc han trong thang.</t>
        </is>
      </c>
    </row>
    <row r="18">
      <c r="A18" s="16" t="inlineStr">
        <is>
          <t>So ma cham tra / Goc cham tra = so ma va gia tri goc TP cham tra lai/goc cong bo trong thang.</t>
        </is>
      </c>
    </row>
    <row r="19">
      <c r="A19" s="16" t="inlineStr">
        <is>
          <t>GTGD thu cap = tong gia tri giao dich TPDN rieng le tren HNX trong thang.</t>
        </is>
      </c>
    </row>
    <row r="20">
      <c r="A20" s="16" t="inlineStr">
        <is>
          <t>BQ/phien = binh quan gia tri giao dich moi phien.</t>
        </is>
      </c>
    </row>
    <row r="21">
      <c r="A21" s="16" t="inlineStr"/>
    </row>
    <row r="22">
      <c r="A22" s="17" t="inlineStr">
        <is>
          <t>LUU Y VE DIEU CHINH SO LIEU:</t>
        </is>
      </c>
    </row>
    <row r="23">
      <c r="A23" s="16" t="inlineStr">
        <is>
          <t>VBMA ghi nhan theo ngay cong bo tren chuyen trang HNX; so lieu cac thang truoc CO THE</t>
        </is>
      </c>
    </row>
    <row r="24">
      <c r="A24" s="16" t="inlineStr">
        <is>
          <t>duoc dieu chinh (thuong la tang) trong cac bao cao sau khi co them cong bo.</t>
        </is>
      </c>
    </row>
    <row r="25">
      <c r="A25" s="16" t="inlineStr">
        <is>
          <t>Do do bang nay la so 'nhu cong bo lan dau' tai moi bao cao thang.</t>
        </is>
      </c>
    </row>
    <row r="26">
      <c r="A26" s="16" t="inlineStr">
        <is>
          <t>Vi du: luy ke 6T2026 (187,915 ty) lon hon tong 12 gia tri phat hanh 'lan dau' vi cac thang dau nam</t>
        </is>
      </c>
    </row>
    <row r="27">
      <c r="A27" s="16" t="inlineStr">
        <is>
          <t>da duoc dieu chinh tang o cac bao cao sau.</t>
        </is>
      </c>
    </row>
    <row r="28">
      <c r="A28" s="16" t="inlineStr">
        <is>
          <t>Vi du dieu chinh: PH Rieng le T3/2026 = 11,616 (bao cao T3) -&gt; 27,036 (bao cao T4).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2026-07-15T06:09:57Z</dcterms:created>
  <dcterms:modified xsi:type="dcterms:W3CDTF">2026-07-15T06:09:57Z</dcterms:modified>
</cp:coreProperties>
</file>