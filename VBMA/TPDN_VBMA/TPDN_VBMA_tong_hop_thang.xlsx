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DN theo thang" sheetId="1" state="visible" r:id="rId1"/>
    <sheet name="Bieu do" sheetId="2" state="visible" r:id="rId2"/>
    <sheet name="Ghi chu &amp; Ngu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i val="1"/>
      <color rgb="00404040"/>
      <sz val="9"/>
    </font>
    <font>
      <name val="Calibri"/>
      <b val="1"/>
      <color rgb="00FFFFFF"/>
      <sz val="10"/>
    </font>
    <font>
      <b val="1"/>
    </font>
    <font>
      <i val="1"/>
      <color rgb="00806000"/>
      <sz val="9"/>
    </font>
    <font>
      <b val="1"/>
      <color rgb="002E5496"/>
      <sz val="12"/>
    </font>
    <font>
      <color rgb="00000000"/>
      <sz val="10"/>
    </font>
    <font>
      <b val="1"/>
      <color rgb="002E5496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phat hanh TPDN theo thang (ty dong)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'Bieu do'!B1</f>
            </strRef>
          </tx>
          <spPr>
            <a:ln>
              <a:prstDash val="solid"/>
            </a:ln>
          </spPr>
          <cat>
            <numRef>
              <f>'Bieu do'!$A$2:$A$67</f>
            </numRef>
          </cat>
          <val>
            <numRef>
              <f>'Bieu do'!$B$2:$B$67</f>
            </numRef>
          </val>
        </ser>
        <ser>
          <idx val="1"/>
          <order val="1"/>
          <tx>
            <strRef>
              <f>'Bieu do'!C1</f>
            </strRef>
          </tx>
          <spPr>
            <a:ln>
              <a:prstDash val="solid"/>
            </a:ln>
          </spPr>
          <cat>
            <numRef>
              <f>'Bieu do'!$A$2:$A$67</f>
            </numRef>
          </cat>
          <val>
            <numRef>
              <f>'Bieu do'!$C$2:$C$67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giao dich thu cap TPDN rieng le (ty dong)</a:t>
            </a:r>
          </a:p>
        </rich>
      </tx>
    </title>
    <plotArea>
      <lineChart>
        <grouping val="standard"/>
        <ser>
          <idx val="0"/>
          <order val="0"/>
          <tx>
            <strRef>
              <f>'Bieu do'!E1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'Bieu do'!$A$2:$A$67</f>
            </numRef>
          </cat>
          <val>
            <numRef>
              <f>'Bieu do'!$E$2:$E$67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3" customWidth="1" min="4" max="4"/>
    <col width="8" customWidth="1" min="5" max="5"/>
    <col width="14" customWidth="1" min="6" max="6"/>
    <col width="8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3" customWidth="1" min="13" max="13"/>
    <col width="15" customWidth="1" min="14" max="14"/>
    <col width="11" customWidth="1" min="15" max="15"/>
    <col width="13" customWidth="1" min="16" max="16"/>
    <col width="14" customWidth="1" min="17" max="17"/>
    <col width="10" customWidth="1" min="18" max="18"/>
    <col width="11" customWidth="1" min="19" max="19"/>
    <col width="11" customWidth="1" min="20" max="20"/>
    <col width="16" customWidth="1" min="21" max="21"/>
  </cols>
  <sheetData>
    <row r="1" ht="26" customHeight="1">
      <c r="A1" s="1" t="inlineStr">
        <is>
          <t>TONG HOP TRAI PHIEU DOANH NGHIEP (TPDN) - Nguon: Bao cao thang VBMA (T1/2021 - T6/2026)  [2021: cong bo lan dau; 2022: dinh chinh M+12 (T1-T2 lan dau); 2023+: dinh chinh M+1]</t>
        </is>
      </c>
    </row>
    <row r="2" ht="22" customHeight="1">
      <c r="A2" s="2" t="inlineStr">
        <is>
          <t>Don vi gia tri: ty dong (VND). So lieu phat hanh/GDthu cap lay tu Phu luc 1; so dot, mua lai, cham tra tu trang 'Trai phieu doanh nghiep'. Moi dong = so lieu cong bo tai chinh bao cao thang do.</t>
        </is>
      </c>
    </row>
    <row r="3" ht="40" customHeight="1">
      <c r="A3" s="3" t="inlineStr">
        <is>
          <t>Thang</t>
        </is>
      </c>
      <c r="B3" s="3" t="inlineStr">
        <is>
          <t>Ky bao cao</t>
        </is>
      </c>
      <c r="C3" s="3" t="inlineStr">
        <is>
          <t>Ngay chot so lieu</t>
        </is>
      </c>
      <c r="D3" s="3" t="inlineStr">
        <is>
          <t>PH Rieng le (ty)</t>
        </is>
      </c>
      <c r="E3" s="3" t="inlineStr">
        <is>
          <t>So dot RL</t>
        </is>
      </c>
      <c r="F3" s="3" t="inlineStr">
        <is>
          <t>PH Cong chung (ty)</t>
        </is>
      </c>
      <c r="G3" s="3" t="inlineStr">
        <is>
          <t>So dot CC</t>
        </is>
      </c>
      <c r="H3" s="3" t="inlineStr">
        <is>
          <t>PH Tong TPDN (ty)</t>
        </is>
      </c>
      <c r="I3" s="3" t="inlineStr">
        <is>
          <t>%MoM Tong</t>
        </is>
      </c>
      <c r="J3" s="3" t="inlineStr">
        <is>
          <t>%YoY Tong</t>
        </is>
      </c>
      <c r="K3" s="3" t="inlineStr">
        <is>
          <t>Luy ke RL (ty)</t>
        </is>
      </c>
      <c r="L3" s="3" t="inlineStr">
        <is>
          <t>Luy ke CC (ty)</t>
        </is>
      </c>
      <c r="M3" s="3" t="inlineStr">
        <is>
          <t>Luy ke Tong (ty)</t>
        </is>
      </c>
      <c r="N3" s="3" t="inlineStr">
        <is>
          <t>Mua lai truoc han (ty)</t>
        </is>
      </c>
      <c r="O3" s="3" t="inlineStr">
        <is>
          <t>So ma cham tra</t>
        </is>
      </c>
      <c r="P3" s="3" t="inlineStr">
        <is>
          <t>Goc cham tra (ty)</t>
        </is>
      </c>
      <c r="Q3" s="3" t="inlineStr">
        <is>
          <t>GTGD thu cap (ty)</t>
        </is>
      </c>
      <c r="R3" s="3" t="inlineStr">
        <is>
          <t>BQ/phien (ty)</t>
        </is>
      </c>
      <c r="S3" s="3" t="inlineStr">
        <is>
          <t>%MoM thu cap</t>
        </is>
      </c>
      <c r="T3" s="3" t="inlineStr">
        <is>
          <t>%YoY thu cap</t>
        </is>
      </c>
      <c r="U3" s="3" t="inlineStr">
        <is>
          <t>Luy ke GTGD thu cap (ty)</t>
        </is>
      </c>
    </row>
    <row r="4">
      <c r="A4" s="4" t="inlineStr">
        <is>
          <t>2021-01</t>
        </is>
      </c>
      <c r="B4" s="4" t="inlineStr">
        <is>
          <t>T1/2021</t>
        </is>
      </c>
      <c r="C4" s="4" t="inlineStr">
        <is>
          <t>31/01/2021</t>
        </is>
      </c>
      <c r="D4" s="5" t="n">
        <v>6416</v>
      </c>
      <c r="E4" s="5" t="n">
        <v>7</v>
      </c>
      <c r="F4" s="5" t="n">
        <v>1610</v>
      </c>
      <c r="G4" s="5" t="n">
        <v>2</v>
      </c>
      <c r="H4" s="5" t="n">
        <v>8026</v>
      </c>
      <c r="I4" s="6" t="n"/>
      <c r="J4" s="6" t="n"/>
      <c r="K4" s="5" t="n">
        <v>6416</v>
      </c>
      <c r="L4" s="5" t="n">
        <v>1610</v>
      </c>
      <c r="M4" s="5" t="n">
        <v>8026</v>
      </c>
      <c r="N4" s="5" t="n"/>
      <c r="O4" s="5" t="n"/>
      <c r="P4" s="5" t="n"/>
      <c r="Q4" s="5" t="n"/>
      <c r="R4" s="5" t="n"/>
      <c r="S4" s="6" t="n"/>
      <c r="T4" s="6" t="n"/>
      <c r="U4" s="5" t="n"/>
    </row>
    <row r="5">
      <c r="A5" s="4" t="inlineStr">
        <is>
          <t>2021-02</t>
        </is>
      </c>
      <c r="B5" s="4" t="inlineStr">
        <is>
          <t>T2/2021</t>
        </is>
      </c>
      <c r="C5" s="4" t="inlineStr">
        <is>
          <t>28/02/2021</t>
        </is>
      </c>
      <c r="D5" s="5" t="n">
        <v>1040</v>
      </c>
      <c r="E5" s="5" t="n">
        <v>3</v>
      </c>
      <c r="F5" s="5" t="n">
        <v>1515</v>
      </c>
      <c r="G5" s="5" t="n">
        <v>1</v>
      </c>
      <c r="H5" s="5" t="n">
        <v>2555</v>
      </c>
      <c r="I5" s="6" t="n">
        <v>-68</v>
      </c>
      <c r="J5" s="6" t="n"/>
      <c r="K5" s="5" t="n">
        <v>7456</v>
      </c>
      <c r="L5" s="5" t="n">
        <v>3125</v>
      </c>
      <c r="M5" s="5" t="n">
        <v>10581</v>
      </c>
      <c r="N5" s="5" t="n"/>
      <c r="O5" s="5" t="n"/>
      <c r="P5" s="5" t="n"/>
      <c r="Q5" s="5" t="n"/>
      <c r="R5" s="5" t="n"/>
      <c r="S5" s="6" t="n"/>
      <c r="T5" s="6" t="n"/>
      <c r="U5" s="5" t="n"/>
    </row>
    <row r="6">
      <c r="A6" s="4" t="inlineStr">
        <is>
          <t>2021-03</t>
        </is>
      </c>
      <c r="B6" s="4" t="inlineStr">
        <is>
          <t>T3/2021</t>
        </is>
      </c>
      <c r="C6" s="4" t="inlineStr">
        <is>
          <t>31/03/2021</t>
        </is>
      </c>
      <c r="D6" s="5" t="n">
        <v>5175</v>
      </c>
      <c r="E6" s="5" t="n">
        <v>17</v>
      </c>
      <c r="F6" s="5" t="n">
        <v>2860</v>
      </c>
      <c r="G6" s="5" t="n">
        <v>2</v>
      </c>
      <c r="H6" s="5" t="n">
        <v>8035</v>
      </c>
      <c r="I6" s="6" t="n">
        <v>214</v>
      </c>
      <c r="J6" s="6" t="n"/>
      <c r="K6" s="5" t="n">
        <v>12631</v>
      </c>
      <c r="L6" s="5" t="n">
        <v>5985</v>
      </c>
      <c r="M6" s="5" t="n">
        <v>18616</v>
      </c>
      <c r="N6" s="5" t="n"/>
      <c r="O6" s="5" t="n"/>
      <c r="P6" s="5" t="n"/>
      <c r="Q6" s="5" t="n"/>
      <c r="R6" s="5" t="n"/>
      <c r="S6" s="6" t="n"/>
      <c r="T6" s="6" t="n"/>
      <c r="U6" s="5" t="n"/>
    </row>
    <row r="7">
      <c r="A7" s="4" t="inlineStr">
        <is>
          <t>2021-04</t>
        </is>
      </c>
      <c r="B7" s="4" t="inlineStr">
        <is>
          <t>T4/2021</t>
        </is>
      </c>
      <c r="C7" s="4" t="inlineStr">
        <is>
          <t>30/04/2021</t>
        </is>
      </c>
      <c r="D7" s="5" t="n">
        <v>29579.6</v>
      </c>
      <c r="E7" s="5" t="n">
        <v>36</v>
      </c>
      <c r="F7" s="5" t="n">
        <v>0</v>
      </c>
      <c r="G7" s="5" t="n">
        <v>0</v>
      </c>
      <c r="H7" s="5" t="n">
        <v>29579.6</v>
      </c>
      <c r="I7" s="6" t="n">
        <v>268</v>
      </c>
      <c r="J7" s="6" t="n"/>
      <c r="K7" s="5" t="n">
        <v>42210.6</v>
      </c>
      <c r="L7" s="5" t="n">
        <v>5985</v>
      </c>
      <c r="M7" s="5" t="n">
        <v>48195.6</v>
      </c>
      <c r="N7" s="5" t="n"/>
      <c r="O7" s="5" t="n"/>
      <c r="P7" s="5" t="n"/>
      <c r="Q7" s="5" t="n"/>
      <c r="R7" s="5" t="n"/>
      <c r="S7" s="6" t="n"/>
      <c r="T7" s="6" t="n"/>
      <c r="U7" s="5" t="n"/>
    </row>
    <row r="8">
      <c r="A8" s="4" t="inlineStr">
        <is>
          <t>2021-05</t>
        </is>
      </c>
      <c r="B8" s="4" t="inlineStr">
        <is>
          <t>T5/2021</t>
        </is>
      </c>
      <c r="C8" s="4" t="inlineStr">
        <is>
          <t>31/05/2021</t>
        </is>
      </c>
      <c r="D8" s="5" t="n">
        <v>28410</v>
      </c>
      <c r="E8" s="5" t="n">
        <v>46</v>
      </c>
      <c r="F8" s="5" t="n">
        <v>500</v>
      </c>
      <c r="G8" s="5" t="n">
        <v>1</v>
      </c>
      <c r="H8" s="5" t="n">
        <v>28910</v>
      </c>
      <c r="I8" s="6" t="n">
        <v>-2</v>
      </c>
      <c r="J8" s="6" t="n"/>
      <c r="K8" s="5" t="n">
        <v>70620.60000000001</v>
      </c>
      <c r="L8" s="5" t="n">
        <v>6485</v>
      </c>
      <c r="M8" s="5" t="n">
        <v>77105.60000000001</v>
      </c>
      <c r="N8" s="5" t="n"/>
      <c r="O8" s="5" t="n"/>
      <c r="P8" s="5" t="n"/>
      <c r="Q8" s="5" t="n"/>
      <c r="R8" s="5" t="n"/>
      <c r="S8" s="6" t="n"/>
      <c r="T8" s="6" t="n"/>
      <c r="U8" s="5" t="n"/>
    </row>
    <row r="9">
      <c r="A9" s="4" t="inlineStr">
        <is>
          <t>2021-06</t>
        </is>
      </c>
      <c r="B9" s="4" t="inlineStr">
        <is>
          <t>T6/2021</t>
        </is>
      </c>
      <c r="C9" s="4" t="inlineStr">
        <is>
          <t>30/06/2021</t>
        </is>
      </c>
      <c r="D9" s="5" t="n">
        <v>52274</v>
      </c>
      <c r="E9" s="5" t="n">
        <v>91</v>
      </c>
      <c r="F9" s="5" t="n">
        <v>1500</v>
      </c>
      <c r="G9" s="5" t="n">
        <v>1</v>
      </c>
      <c r="H9" s="5" t="n">
        <v>53774</v>
      </c>
      <c r="I9" s="6" t="n">
        <v>86</v>
      </c>
      <c r="J9" s="6" t="n"/>
      <c r="K9" s="5" t="n">
        <v>122894.6</v>
      </c>
      <c r="L9" s="5" t="n">
        <v>7985</v>
      </c>
      <c r="M9" s="5" t="n">
        <v>130879.6</v>
      </c>
      <c r="N9" s="5" t="n"/>
      <c r="O9" s="5" t="n"/>
      <c r="P9" s="5" t="n"/>
      <c r="Q9" s="5" t="n"/>
      <c r="R9" s="5" t="n"/>
      <c r="S9" s="6" t="n"/>
      <c r="T9" s="6" t="n"/>
      <c r="U9" s="5" t="n"/>
    </row>
    <row r="10">
      <c r="A10" s="4" t="inlineStr">
        <is>
          <t>2021-07</t>
        </is>
      </c>
      <c r="B10" s="4" t="inlineStr">
        <is>
          <t>T7/2021</t>
        </is>
      </c>
      <c r="C10" s="4" t="inlineStr">
        <is>
          <t>31/07/2021</t>
        </is>
      </c>
      <c r="D10" s="5" t="n">
        <v>38905</v>
      </c>
      <c r="E10" s="5" t="n">
        <v>53</v>
      </c>
      <c r="F10" s="5" t="n">
        <v>0</v>
      </c>
      <c r="G10" s="5" t="n">
        <v>0</v>
      </c>
      <c r="H10" s="5" t="n">
        <v>38905</v>
      </c>
      <c r="I10" s="6" t="n">
        <v>-28</v>
      </c>
      <c r="J10" s="6" t="n"/>
      <c r="K10" s="5" t="n">
        <v>161799.6</v>
      </c>
      <c r="L10" s="5" t="n">
        <v>7985</v>
      </c>
      <c r="M10" s="5" t="n">
        <v>169784.6</v>
      </c>
      <c r="N10" s="5" t="n"/>
      <c r="O10" s="5" t="n"/>
      <c r="P10" s="5" t="n"/>
      <c r="Q10" s="5" t="n"/>
      <c r="R10" s="5" t="n"/>
      <c r="S10" s="6" t="n"/>
      <c r="T10" s="6" t="n"/>
      <c r="U10" s="5" t="n"/>
    </row>
    <row r="11">
      <c r="A11" s="4" t="inlineStr">
        <is>
          <t>2021-08</t>
        </is>
      </c>
      <c r="B11" s="4" t="inlineStr">
        <is>
          <t>T8/2021</t>
        </is>
      </c>
      <c r="C11" s="4" t="inlineStr">
        <is>
          <t>31/08/2021</t>
        </is>
      </c>
      <c r="D11" s="5" t="n">
        <v>24077</v>
      </c>
      <c r="E11" s="5" t="n">
        <v>51</v>
      </c>
      <c r="F11" s="5" t="n">
        <v>2000</v>
      </c>
      <c r="G11" s="5" t="n">
        <v>1</v>
      </c>
      <c r="H11" s="5" t="n">
        <v>26077</v>
      </c>
      <c r="I11" s="6" t="n">
        <v>-33</v>
      </c>
      <c r="J11" s="6" t="n"/>
      <c r="K11" s="5" t="n">
        <v>185876.6</v>
      </c>
      <c r="L11" s="5" t="n">
        <v>9985</v>
      </c>
      <c r="M11" s="5" t="n">
        <v>195861.6</v>
      </c>
      <c r="N11" s="5" t="n"/>
      <c r="O11" s="5" t="n"/>
      <c r="P11" s="5" t="n"/>
      <c r="Q11" s="5" t="n"/>
      <c r="R11" s="5" t="n"/>
      <c r="S11" s="6" t="n"/>
      <c r="T11" s="6" t="n"/>
      <c r="U11" s="5" t="n"/>
    </row>
    <row r="12">
      <c r="A12" s="4" t="inlineStr">
        <is>
          <t>2021-09</t>
        </is>
      </c>
      <c r="B12" s="4" t="inlineStr">
        <is>
          <t>T9/2021</t>
        </is>
      </c>
      <c r="C12" s="4" t="inlineStr">
        <is>
          <t>30/09/2021</t>
        </is>
      </c>
      <c r="D12" s="5" t="n">
        <v>29734</v>
      </c>
      <c r="E12" s="5" t="n">
        <v>42</v>
      </c>
      <c r="F12" s="5" t="n">
        <v>0</v>
      </c>
      <c r="G12" s="5" t="n">
        <v>0</v>
      </c>
      <c r="H12" s="5" t="n">
        <v>29734</v>
      </c>
      <c r="I12" s="6" t="n">
        <v>14</v>
      </c>
      <c r="J12" s="6" t="n"/>
      <c r="K12" s="5" t="n">
        <v>215610.6</v>
      </c>
      <c r="L12" s="5" t="n">
        <v>9985</v>
      </c>
      <c r="M12" s="5" t="n">
        <v>225595.6</v>
      </c>
      <c r="N12" s="5" t="n"/>
      <c r="O12" s="5" t="n"/>
      <c r="P12" s="5" t="n"/>
      <c r="Q12" s="5" t="n"/>
      <c r="R12" s="5" t="n"/>
      <c r="S12" s="6" t="n"/>
      <c r="T12" s="6" t="n"/>
      <c r="U12" s="5" t="n"/>
    </row>
    <row r="13">
      <c r="A13" s="4" t="inlineStr">
        <is>
          <t>2021-10</t>
        </is>
      </c>
      <c r="B13" s="4" t="inlineStr">
        <is>
          <t>T10/2021</t>
        </is>
      </c>
      <c r="C13" s="4" t="inlineStr">
        <is>
          <t>31/10/2021</t>
        </is>
      </c>
      <c r="D13" s="5" t="n">
        <v>35319</v>
      </c>
      <c r="E13" s="5" t="n">
        <v>53</v>
      </c>
      <c r="F13" s="5" t="n">
        <v>3966</v>
      </c>
      <c r="G13" s="5" t="n">
        <v>4</v>
      </c>
      <c r="H13" s="5" t="n">
        <v>39285</v>
      </c>
      <c r="I13" s="6" t="n">
        <v>32</v>
      </c>
      <c r="J13" s="6" t="n"/>
      <c r="K13" s="5" t="n">
        <v>250929.6</v>
      </c>
      <c r="L13" s="5" t="n">
        <v>13951</v>
      </c>
      <c r="M13" s="5" t="n">
        <v>264880.6</v>
      </c>
      <c r="N13" s="5" t="n"/>
      <c r="O13" s="5" t="n"/>
      <c r="P13" s="5" t="n"/>
      <c r="Q13" s="5" t="n"/>
      <c r="R13" s="5" t="n"/>
      <c r="S13" s="6" t="n"/>
      <c r="T13" s="6" t="n"/>
      <c r="U13" s="5" t="n"/>
    </row>
    <row r="14">
      <c r="A14" s="4" t="inlineStr">
        <is>
          <t>2021-11</t>
        </is>
      </c>
      <c r="B14" s="4" t="inlineStr">
        <is>
          <t>T11/2021</t>
        </is>
      </c>
      <c r="C14" s="4" t="inlineStr">
        <is>
          <t>30/11/2021</t>
        </is>
      </c>
      <c r="D14" s="5" t="n">
        <v>18276</v>
      </c>
      <c r="E14" s="5" t="n">
        <v>40</v>
      </c>
      <c r="F14" s="5" t="n">
        <v>2090</v>
      </c>
      <c r="G14" s="5" t="n">
        <v>1</v>
      </c>
      <c r="H14" s="5" t="n">
        <v>20366</v>
      </c>
      <c r="I14" s="6" t="n">
        <v>-48</v>
      </c>
      <c r="J14" s="6" t="n"/>
      <c r="K14" s="5" t="n">
        <v>269205.6</v>
      </c>
      <c r="L14" s="5" t="n">
        <v>16041</v>
      </c>
      <c r="M14" s="5" t="n">
        <v>285246.6</v>
      </c>
      <c r="N14" s="5" t="n"/>
      <c r="O14" s="5" t="n"/>
      <c r="P14" s="5" t="n"/>
      <c r="Q14" s="5" t="n"/>
      <c r="R14" s="5" t="n"/>
      <c r="S14" s="6" t="n"/>
      <c r="T14" s="6" t="n"/>
      <c r="U14" s="5" t="n"/>
    </row>
    <row r="15">
      <c r="A15" s="4" t="inlineStr">
        <is>
          <t>2021-12</t>
        </is>
      </c>
      <c r="B15" s="4" t="inlineStr">
        <is>
          <t>T12/2021</t>
        </is>
      </c>
      <c r="C15" s="4" t="inlineStr">
        <is>
          <t>31/12/2021</t>
        </is>
      </c>
      <c r="D15" s="5" t="n">
        <v>65757</v>
      </c>
      <c r="E15" s="5" t="n">
        <v>80</v>
      </c>
      <c r="F15" s="5" t="n">
        <v>0</v>
      </c>
      <c r="G15" s="5" t="n">
        <v>0</v>
      </c>
      <c r="H15" s="5" t="n">
        <v>65757</v>
      </c>
      <c r="I15" s="6" t="n">
        <v>223</v>
      </c>
      <c r="J15" s="6" t="n"/>
      <c r="K15" s="5" t="n">
        <v>334962.6</v>
      </c>
      <c r="L15" s="5" t="n">
        <v>16041</v>
      </c>
      <c r="M15" s="5" t="n">
        <v>351003.6</v>
      </c>
      <c r="N15" s="5" t="n"/>
      <c r="O15" s="5" t="n"/>
      <c r="P15" s="5" t="n"/>
      <c r="Q15" s="5" t="n"/>
      <c r="R15" s="5" t="n"/>
      <c r="S15" s="6" t="n"/>
      <c r="T15" s="6" t="n"/>
      <c r="U15" s="5" t="n"/>
    </row>
    <row r="16">
      <c r="A16" s="4" t="inlineStr">
        <is>
          <t>2022-01</t>
        </is>
      </c>
      <c r="B16" s="4" t="inlineStr">
        <is>
          <t>T1/2022</t>
        </is>
      </c>
      <c r="C16" s="4" t="inlineStr">
        <is>
          <t>31/01/2022</t>
        </is>
      </c>
      <c r="D16" s="5" t="n">
        <v>19500</v>
      </c>
      <c r="E16" s="5" t="n">
        <v>16</v>
      </c>
      <c r="F16" s="5" t="n">
        <v>5009</v>
      </c>
      <c r="G16" s="5" t="n">
        <v>7</v>
      </c>
      <c r="H16" s="5" t="n">
        <v>24509</v>
      </c>
      <c r="I16" s="6" t="n">
        <v>-63</v>
      </c>
      <c r="J16" s="6" t="n"/>
      <c r="K16" s="5" t="n">
        <v>19500</v>
      </c>
      <c r="L16" s="5" t="n">
        <v>5009</v>
      </c>
      <c r="M16" s="5" t="n">
        <v>24509</v>
      </c>
      <c r="N16" s="5" t="n"/>
      <c r="O16" s="5" t="n"/>
      <c r="P16" s="5" t="n"/>
      <c r="Q16" s="5" t="n"/>
      <c r="R16" s="5" t="n"/>
      <c r="S16" s="6" t="n"/>
      <c r="T16" s="6" t="n"/>
      <c r="U16" s="5" t="n"/>
    </row>
    <row r="17">
      <c r="A17" s="4" t="inlineStr">
        <is>
          <t>2022-02</t>
        </is>
      </c>
      <c r="B17" s="4" t="inlineStr">
        <is>
          <t>T2/2022</t>
        </is>
      </c>
      <c r="C17" s="4" t="inlineStr">
        <is>
          <t>28/02/2022</t>
        </is>
      </c>
      <c r="D17" s="5" t="n">
        <v>1300</v>
      </c>
      <c r="E17" s="5" t="n">
        <v>4</v>
      </c>
      <c r="F17" s="5" t="n">
        <v>500</v>
      </c>
      <c r="G17" s="5" t="n">
        <v>1</v>
      </c>
      <c r="H17" s="5" t="n">
        <v>1800</v>
      </c>
      <c r="I17" s="6" t="n">
        <v>-93</v>
      </c>
      <c r="J17" s="6" t="n"/>
      <c r="K17" s="5" t="n">
        <v>20800</v>
      </c>
      <c r="L17" s="5" t="n">
        <v>5509</v>
      </c>
      <c r="M17" s="5" t="n">
        <v>26309</v>
      </c>
      <c r="N17" s="5" t="n"/>
      <c r="O17" s="5" t="n"/>
      <c r="P17" s="5" t="n"/>
      <c r="Q17" s="5" t="n"/>
      <c r="R17" s="5" t="n"/>
      <c r="S17" s="6" t="n"/>
      <c r="T17" s="6" t="n"/>
      <c r="U17" s="5" t="n"/>
    </row>
    <row r="18" ht="42" customHeight="1">
      <c r="A18" s="4" t="inlineStr">
        <is>
          <t>2022-03</t>
        </is>
      </c>
      <c r="B18" t="inlineStr">
        <is>
          <t>T3/2022</t>
        </is>
      </c>
      <c r="C18" t="inlineStr">
        <is>
          <t>31/03/2022</t>
        </is>
      </c>
      <c r="D18" t="n">
        <v>26844</v>
      </c>
      <c r="E18" t="n">
        <v>10</v>
      </c>
      <c r="F18" t="n">
        <v>1491</v>
      </c>
      <c r="G18" t="n">
        <v>2</v>
      </c>
      <c r="H18" t="n">
        <v>28335</v>
      </c>
      <c r="I18" t="n">
        <v>1474</v>
      </c>
      <c r="K18" t="n">
        <v>47644</v>
      </c>
      <c r="L18" t="n">
        <v>7000</v>
      </c>
      <c r="M18" t="n">
        <v>54644</v>
      </c>
    </row>
    <row r="19">
      <c r="A19" s="4" t="inlineStr">
        <is>
          <t>2022-04</t>
        </is>
      </c>
      <c r="B19" s="4" t="inlineStr">
        <is>
          <t>T4/2022</t>
        </is>
      </c>
      <c r="C19" s="4" t="inlineStr">
        <is>
          <t>30/04/2022</t>
        </is>
      </c>
      <c r="D19" s="5" t="n">
        <v>29262</v>
      </c>
      <c r="E19" s="5" t="n">
        <v>23</v>
      </c>
      <c r="F19" s="5" t="n">
        <v>0</v>
      </c>
      <c r="G19" s="5" t="n">
        <v>0</v>
      </c>
      <c r="H19" s="5" t="n">
        <v>29262</v>
      </c>
      <c r="I19" s="6" t="n">
        <v>3</v>
      </c>
      <c r="J19" s="6" t="n"/>
      <c r="K19" s="5" t="n">
        <v>76906</v>
      </c>
      <c r="L19" s="5" t="n">
        <v>7000</v>
      </c>
      <c r="M19" s="5" t="n">
        <v>83906</v>
      </c>
      <c r="N19" s="5" t="n"/>
      <c r="O19" s="5" t="n"/>
      <c r="P19" s="5" t="n"/>
      <c r="Q19" s="5" t="n"/>
      <c r="R19" s="5" t="n"/>
      <c r="S19" s="6" t="n"/>
      <c r="T19" s="6" t="n"/>
      <c r="U19" s="5" t="n"/>
    </row>
    <row r="20">
      <c r="A20" s="4" t="inlineStr">
        <is>
          <t>2022-05</t>
        </is>
      </c>
      <c r="B20" s="4" t="inlineStr">
        <is>
          <t>T5/2022</t>
        </is>
      </c>
      <c r="C20" s="4" t="inlineStr">
        <is>
          <t>31/05/2022</t>
        </is>
      </c>
      <c r="D20" s="5" t="n">
        <v>39977</v>
      </c>
      <c r="E20" s="5" t="n">
        <v>34</v>
      </c>
      <c r="F20" s="5" t="n">
        <v>300</v>
      </c>
      <c r="G20" s="5" t="n">
        <v>1</v>
      </c>
      <c r="H20" s="5" t="n">
        <v>40277</v>
      </c>
      <c r="I20" s="6" t="n">
        <v>38</v>
      </c>
      <c r="J20" s="6" t="n"/>
      <c r="K20" s="5" t="n">
        <v>116883</v>
      </c>
      <c r="L20" s="5" t="n">
        <v>7300</v>
      </c>
      <c r="M20" s="5" t="n">
        <v>124183</v>
      </c>
      <c r="N20" s="5" t="n"/>
      <c r="O20" s="5" t="n"/>
      <c r="P20" s="5" t="n"/>
      <c r="Q20" s="5" t="n"/>
      <c r="R20" s="5" t="n"/>
      <c r="S20" s="6" t="n"/>
      <c r="T20" s="6" t="n"/>
      <c r="U20" s="5" t="n"/>
    </row>
    <row r="21">
      <c r="A21" s="4" t="inlineStr">
        <is>
          <t>2022-06</t>
        </is>
      </c>
      <c r="B21" s="4" t="inlineStr">
        <is>
          <t>T6/2022</t>
        </is>
      </c>
      <c r="C21" s="4" t="inlineStr">
        <is>
          <t>30/06/2022</t>
        </is>
      </c>
      <c r="D21" s="5" t="n">
        <v>43593</v>
      </c>
      <c r="E21" s="5" t="n">
        <v>44</v>
      </c>
      <c r="F21" s="5" t="n">
        <v>0</v>
      </c>
      <c r="G21" s="5" t="n">
        <v>0</v>
      </c>
      <c r="H21" s="5" t="n">
        <v>43593</v>
      </c>
      <c r="I21" s="6" t="n">
        <v>8</v>
      </c>
      <c r="J21" s="6" t="n"/>
      <c r="K21" s="5" t="n">
        <v>160476</v>
      </c>
      <c r="L21" s="5" t="n">
        <v>7300</v>
      </c>
      <c r="M21" s="5" t="n">
        <v>167776</v>
      </c>
      <c r="N21" s="5" t="n"/>
      <c r="O21" s="5" t="n"/>
      <c r="P21" s="5" t="n"/>
      <c r="Q21" s="5" t="n"/>
      <c r="R21" s="5" t="n"/>
      <c r="S21" s="6" t="n"/>
      <c r="T21" s="6" t="n"/>
      <c r="U21" s="5" t="n"/>
    </row>
    <row r="22">
      <c r="A22" s="4" t="inlineStr">
        <is>
          <t>2022-07</t>
        </is>
      </c>
      <c r="B22" s="4" t="inlineStr">
        <is>
          <t>T7/2022</t>
        </is>
      </c>
      <c r="C22" s="4" t="inlineStr">
        <is>
          <t>31/07/2022</t>
        </is>
      </c>
      <c r="D22" s="5" t="n">
        <v>26195</v>
      </c>
      <c r="E22" s="5" t="n">
        <v>28</v>
      </c>
      <c r="F22" s="5" t="n">
        <v>0</v>
      </c>
      <c r="G22" s="5" t="n">
        <v>0</v>
      </c>
      <c r="H22" s="5" t="n">
        <v>26195</v>
      </c>
      <c r="I22" s="6" t="n">
        <v>-40</v>
      </c>
      <c r="J22" s="6" t="n"/>
      <c r="K22" s="5" t="n">
        <v>186671</v>
      </c>
      <c r="L22" s="5" t="n">
        <v>7300</v>
      </c>
      <c r="M22" s="5" t="n">
        <v>193971</v>
      </c>
      <c r="N22" s="5" t="n"/>
      <c r="O22" s="5" t="n"/>
      <c r="P22" s="5" t="n"/>
      <c r="Q22" s="5" t="n"/>
      <c r="R22" s="5" t="n"/>
      <c r="S22" s="6" t="n"/>
      <c r="T22" s="6" t="n"/>
      <c r="U22" s="5" t="n"/>
    </row>
    <row r="23">
      <c r="A23" s="4" t="inlineStr">
        <is>
          <t>2022-08</t>
        </is>
      </c>
      <c r="B23" s="4" t="inlineStr">
        <is>
          <t>T8/2022</t>
        </is>
      </c>
      <c r="C23" s="4" t="inlineStr">
        <is>
          <t>31/08/2022</t>
        </is>
      </c>
      <c r="D23" s="5" t="n">
        <v>21419</v>
      </c>
      <c r="E23" s="5" t="n">
        <v>26</v>
      </c>
      <c r="F23" s="5" t="n">
        <v>1268</v>
      </c>
      <c r="G23" s="5" t="n">
        <v>1</v>
      </c>
      <c r="H23" s="5" t="n">
        <v>22687</v>
      </c>
      <c r="I23" s="6" t="n">
        <v>-13</v>
      </c>
      <c r="J23" s="6" t="n"/>
      <c r="K23" s="5" t="n">
        <v>208090</v>
      </c>
      <c r="L23" s="5" t="n">
        <v>8568</v>
      </c>
      <c r="M23" s="5" t="n">
        <v>216658</v>
      </c>
      <c r="N23" s="5" t="n"/>
      <c r="O23" s="5" t="n"/>
      <c r="P23" s="5" t="n"/>
      <c r="Q23" s="5" t="n"/>
      <c r="R23" s="5" t="n"/>
      <c r="S23" s="6" t="n"/>
      <c r="T23" s="6" t="n"/>
      <c r="U23" s="5" t="n"/>
    </row>
    <row r="24">
      <c r="A24" s="4" t="inlineStr">
        <is>
          <t>2022-09</t>
        </is>
      </c>
      <c r="B24" s="4" t="inlineStr">
        <is>
          <t>T9/2022</t>
        </is>
      </c>
      <c r="C24" s="4" t="inlineStr">
        <is>
          <t>30/09/2022</t>
        </is>
      </c>
      <c r="D24" s="5" t="n">
        <v>17540</v>
      </c>
      <c r="E24" s="5" t="n">
        <v>25</v>
      </c>
      <c r="F24" s="5" t="n">
        <v>335</v>
      </c>
      <c r="G24" s="5" t="n">
        <v>1</v>
      </c>
      <c r="H24" s="5" t="n">
        <v>17875</v>
      </c>
      <c r="I24" s="6" t="n">
        <v>-21</v>
      </c>
      <c r="J24" s="6" t="n"/>
      <c r="K24" s="5" t="n">
        <v>225630</v>
      </c>
      <c r="L24" s="5" t="n">
        <v>8903</v>
      </c>
      <c r="M24" s="5" t="n">
        <v>234533</v>
      </c>
      <c r="N24" s="5" t="n"/>
      <c r="O24" s="5" t="n"/>
      <c r="P24" s="5" t="n"/>
      <c r="Q24" s="5" t="n"/>
      <c r="R24" s="5" t="n"/>
      <c r="S24" s="6" t="n"/>
      <c r="T24" s="6" t="n"/>
      <c r="U24" s="5" t="n"/>
    </row>
    <row r="25">
      <c r="A25" s="4" t="inlineStr">
        <is>
          <t>2022-10</t>
        </is>
      </c>
      <c r="B25" s="4" t="inlineStr">
        <is>
          <t>T10/2022</t>
        </is>
      </c>
      <c r="C25" s="4" t="inlineStr">
        <is>
          <t>31/10/2022</t>
        </is>
      </c>
      <c r="D25" s="5" t="n">
        <v>335</v>
      </c>
      <c r="E25" s="5" t="n">
        <v>1</v>
      </c>
      <c r="F25" s="5" t="n">
        <v>0</v>
      </c>
      <c r="G25" s="5" t="n">
        <v>0</v>
      </c>
      <c r="H25" s="5" t="n">
        <v>335</v>
      </c>
      <c r="I25" s="6" t="n">
        <v>-98</v>
      </c>
      <c r="J25" s="6" t="n"/>
      <c r="K25" s="5" t="n">
        <v>225965</v>
      </c>
      <c r="L25" s="5" t="n">
        <v>8903</v>
      </c>
      <c r="M25" s="5" t="n">
        <v>234868</v>
      </c>
      <c r="N25" s="5" t="n"/>
      <c r="O25" s="5" t="n"/>
      <c r="P25" s="5" t="n"/>
      <c r="Q25" s="5" t="n"/>
      <c r="R25" s="5" t="n"/>
      <c r="S25" s="6" t="n"/>
      <c r="T25" s="6" t="n"/>
      <c r="U25" s="5" t="n"/>
    </row>
    <row r="26">
      <c r="A26" s="4" t="inlineStr">
        <is>
          <t>2022-11</t>
        </is>
      </c>
      <c r="B26" s="4" t="inlineStr">
        <is>
          <t>T11/2022</t>
        </is>
      </c>
      <c r="C26" s="4" t="inlineStr">
        <is>
          <t>30/11/2022</t>
        </is>
      </c>
      <c r="D26" s="5" t="n">
        <v>2077</v>
      </c>
      <c r="E26" s="5" t="n">
        <v>5</v>
      </c>
      <c r="F26" s="5" t="n">
        <v>0</v>
      </c>
      <c r="G26" s="5" t="n">
        <v>0</v>
      </c>
      <c r="H26" s="5" t="n">
        <v>2077</v>
      </c>
      <c r="I26" s="6" t="n"/>
      <c r="J26" s="6" t="n"/>
      <c r="K26" s="5" t="n">
        <v>228042</v>
      </c>
      <c r="L26" s="5" t="n">
        <v>8903</v>
      </c>
      <c r="M26" s="5" t="n">
        <v>236945</v>
      </c>
      <c r="N26" s="5" t="n"/>
      <c r="O26" s="5" t="n"/>
      <c r="P26" s="5" t="n"/>
      <c r="Q26" s="5" t="n"/>
      <c r="R26" s="5" t="n"/>
      <c r="S26" s="6" t="n"/>
      <c r="T26" s="6" t="n"/>
      <c r="U26" s="5" t="n"/>
    </row>
    <row r="27">
      <c r="A27" s="4" t="inlineStr">
        <is>
          <t>2022-12</t>
        </is>
      </c>
      <c r="B27" s="4" t="inlineStr">
        <is>
          <t>T12/2022</t>
        </is>
      </c>
      <c r="C27" s="4" t="inlineStr">
        <is>
          <t>31/12/2022</t>
        </is>
      </c>
      <c r="D27" s="5" t="n">
        <v>10638</v>
      </c>
      <c r="E27" s="5" t="n">
        <v>11</v>
      </c>
      <c r="F27" s="5" t="n">
        <v>10638</v>
      </c>
      <c r="G27" s="5" t="n"/>
      <c r="H27" s="5" t="n">
        <v>21276</v>
      </c>
      <c r="I27" s="6" t="n">
        <v>924</v>
      </c>
      <c r="J27" s="6" t="n"/>
      <c r="K27" s="5" t="n">
        <v>238680</v>
      </c>
      <c r="L27" s="5" t="n">
        <v>19541</v>
      </c>
      <c r="M27" s="5" t="n">
        <v>258221</v>
      </c>
      <c r="N27" s="5" t="n"/>
      <c r="O27" s="5" t="n"/>
      <c r="P27" s="5" t="n"/>
      <c r="Q27" s="5" t="n"/>
      <c r="R27" s="5" t="n"/>
      <c r="S27" s="6" t="n"/>
      <c r="T27" s="6" t="n"/>
      <c r="U27" s="5" t="n"/>
    </row>
    <row r="28">
      <c r="A28" s="4" t="inlineStr">
        <is>
          <t>2023-01</t>
        </is>
      </c>
      <c r="B28" s="4" t="inlineStr">
        <is>
          <t>T1/2023</t>
        </is>
      </c>
      <c r="C28" s="4" t="inlineStr">
        <is>
          <t>31/01/2023</t>
        </is>
      </c>
      <c r="D28" s="5" t="n">
        <v>110</v>
      </c>
      <c r="E28" s="5" t="n"/>
      <c r="F28" s="5" t="n">
        <v>21</v>
      </c>
      <c r="G28" s="5" t="n"/>
      <c r="H28" s="5" t="n">
        <v>131</v>
      </c>
      <c r="I28" s="6" t="n">
        <v>-99</v>
      </c>
      <c r="J28" s="6" t="n"/>
      <c r="K28" s="5" t="n">
        <v>110</v>
      </c>
      <c r="L28" s="5" t="n">
        <v>21</v>
      </c>
      <c r="M28" s="5" t="n">
        <v>131</v>
      </c>
      <c r="N28" s="5" t="n">
        <v>8068</v>
      </c>
      <c r="O28" s="5" t="n"/>
      <c r="P28" s="5" t="n"/>
      <c r="Q28" s="5" t="n"/>
      <c r="R28" s="5" t="n"/>
      <c r="S28" s="6" t="n"/>
      <c r="T28" s="6" t="n"/>
      <c r="U28" s="5" t="n"/>
    </row>
    <row r="29">
      <c r="A29" s="4" t="inlineStr">
        <is>
          <t>2023-02</t>
        </is>
      </c>
      <c r="B29" s="4" t="inlineStr">
        <is>
          <t>T2/2023</t>
        </is>
      </c>
      <c r="C29" s="4" t="inlineStr">
        <is>
          <t>28/02/2023</t>
        </is>
      </c>
      <c r="D29" s="5" t="n">
        <v>500</v>
      </c>
      <c r="E29" s="5" t="n">
        <v>1</v>
      </c>
      <c r="F29" s="5" t="n">
        <v>1500</v>
      </c>
      <c r="G29" s="5" t="n">
        <v>2</v>
      </c>
      <c r="H29" s="5" t="n">
        <v>2000</v>
      </c>
      <c r="I29" s="6" t="n"/>
      <c r="J29" s="6" t="n"/>
      <c r="K29" s="5" t="n">
        <v>610</v>
      </c>
      <c r="L29" s="5" t="n">
        <v>1521</v>
      </c>
      <c r="M29" s="5" t="n">
        <v>2131</v>
      </c>
      <c r="N29" s="5" t="n">
        <v>4782</v>
      </c>
      <c r="O29" s="5" t="n"/>
      <c r="P29" s="5" t="n"/>
      <c r="Q29" s="5" t="n"/>
      <c r="R29" s="5" t="n"/>
      <c r="S29" s="6" t="n"/>
      <c r="T29" s="6" t="n"/>
      <c r="U29" s="5" t="n"/>
    </row>
    <row r="30">
      <c r="A30" s="4" t="inlineStr">
        <is>
          <t>2023-03</t>
        </is>
      </c>
      <c r="B30" s="4" t="inlineStr">
        <is>
          <t>T3/2023</t>
        </is>
      </c>
      <c r="C30" s="4" t="inlineStr">
        <is>
          <t>31/03/2023</t>
        </is>
      </c>
      <c r="D30" s="5" t="n">
        <v>24425</v>
      </c>
      <c r="E30" s="5" t="n">
        <v>10</v>
      </c>
      <c r="F30" s="5" t="n">
        <v>2000</v>
      </c>
      <c r="G30" s="5" t="n"/>
      <c r="H30" s="5" t="n">
        <v>26425</v>
      </c>
      <c r="I30" s="6" t="n">
        <v>1221</v>
      </c>
      <c r="J30" s="6" t="n">
        <v>-7</v>
      </c>
      <c r="K30" s="5" t="n">
        <v>25035</v>
      </c>
      <c r="L30" s="5" t="n">
        <v>3521</v>
      </c>
      <c r="M30" s="5" t="n">
        <v>28556</v>
      </c>
      <c r="N30" s="5" t="n">
        <v>14267</v>
      </c>
      <c r="O30" s="5" t="n"/>
      <c r="P30" s="5" t="n"/>
      <c r="Q30" s="5" t="n"/>
      <c r="R30" s="5" t="n"/>
      <c r="S30" s="6" t="n"/>
      <c r="T30" s="6" t="n"/>
      <c r="U30" s="5" t="n"/>
    </row>
    <row r="31">
      <c r="A31" s="4" t="inlineStr">
        <is>
          <t>2023-04</t>
        </is>
      </c>
      <c r="B31" s="4" t="inlineStr">
        <is>
          <t>T4/2023</t>
        </is>
      </c>
      <c r="C31" s="4" t="inlineStr">
        <is>
          <t>30/04/2023</t>
        </is>
      </c>
      <c r="D31" s="5" t="n">
        <v>671</v>
      </c>
      <c r="E31" s="5" t="n">
        <v>1</v>
      </c>
      <c r="F31" s="5" t="n">
        <v>2000</v>
      </c>
      <c r="G31" s="5" t="n">
        <v>1</v>
      </c>
      <c r="H31" s="5" t="n">
        <v>2671</v>
      </c>
      <c r="I31" s="6" t="n">
        <v>-90</v>
      </c>
      <c r="J31" s="6" t="n">
        <v>-91</v>
      </c>
      <c r="K31" s="5" t="n">
        <v>25706</v>
      </c>
      <c r="L31" s="5" t="n">
        <v>5521</v>
      </c>
      <c r="M31" s="5" t="n">
        <v>31227</v>
      </c>
      <c r="N31" s="5" t="n">
        <v>11398</v>
      </c>
      <c r="O31" s="5" t="n"/>
      <c r="P31" s="5" t="n"/>
      <c r="Q31" s="5" t="n"/>
      <c r="R31" s="5" t="n"/>
      <c r="S31" s="6" t="n"/>
      <c r="T31" s="6" t="n"/>
      <c r="U31" s="5" t="n"/>
    </row>
    <row r="32">
      <c r="A32" s="4" t="inlineStr">
        <is>
          <t>2023-05</t>
        </is>
      </c>
      <c r="B32" s="4" t="inlineStr">
        <is>
          <t>T5/2023</t>
        </is>
      </c>
      <c r="C32" s="4" t="inlineStr">
        <is>
          <t>31/05/2023</t>
        </is>
      </c>
      <c r="D32" s="5" t="n">
        <v>2600</v>
      </c>
      <c r="E32" s="5" t="n">
        <v>4</v>
      </c>
      <c r="F32" s="5" t="n">
        <v>0</v>
      </c>
      <c r="G32" s="5" t="n">
        <v>0</v>
      </c>
      <c r="H32" s="5" t="n">
        <v>2600</v>
      </c>
      <c r="I32" s="6" t="n">
        <v>-3</v>
      </c>
      <c r="J32" s="6" t="n">
        <v>-94</v>
      </c>
      <c r="K32" s="5" t="n">
        <v>28306</v>
      </c>
      <c r="L32" s="5" t="n">
        <v>5521</v>
      </c>
      <c r="M32" s="5" t="n">
        <v>33827</v>
      </c>
      <c r="N32" s="5" t="n">
        <v>22789</v>
      </c>
      <c r="O32" s="5" t="n"/>
      <c r="P32" s="5" t="n"/>
      <c r="Q32" s="5" t="n"/>
      <c r="R32" s="5" t="n"/>
      <c r="S32" s="6" t="n"/>
      <c r="T32" s="6" t="n"/>
      <c r="U32" s="5" t="n"/>
    </row>
    <row r="33">
      <c r="A33" s="4" t="inlineStr">
        <is>
          <t>2023-06</t>
        </is>
      </c>
      <c r="B33" s="4" t="inlineStr">
        <is>
          <t>T6/2023</t>
        </is>
      </c>
      <c r="C33" s="4" t="inlineStr">
        <is>
          <t>30/06/2023</t>
        </is>
      </c>
      <c r="D33" s="5" t="n">
        <v>8170</v>
      </c>
      <c r="E33" s="5" t="n">
        <v>13</v>
      </c>
      <c r="F33" s="5" t="n">
        <v>0</v>
      </c>
      <c r="G33" s="5" t="n">
        <v>0</v>
      </c>
      <c r="H33" s="5" t="n">
        <v>8170</v>
      </c>
      <c r="I33" s="6" t="n">
        <v>214</v>
      </c>
      <c r="J33" s="6" t="n">
        <v>-81</v>
      </c>
      <c r="K33" s="5" t="n">
        <v>36476</v>
      </c>
      <c r="L33" s="5" t="n">
        <v>5521</v>
      </c>
      <c r="M33" s="5" t="n">
        <v>41997</v>
      </c>
      <c r="N33" s="5" t="n">
        <v>31591</v>
      </c>
      <c r="O33" s="5" t="n"/>
      <c r="P33" s="5" t="n"/>
      <c r="Q33" s="5" t="n"/>
      <c r="R33" s="5" t="n"/>
      <c r="S33" s="6" t="n"/>
      <c r="T33" s="6" t="n"/>
      <c r="U33" s="5" t="n"/>
    </row>
    <row r="34">
      <c r="A34" s="10" t="inlineStr">
        <is>
          <t>2023-07</t>
        </is>
      </c>
      <c r="B34" s="11" t="inlineStr">
        <is>
          <t>T7/2023</t>
        </is>
      </c>
      <c r="C34" s="11" t="inlineStr">
        <is>
          <t>31/07/2023</t>
        </is>
      </c>
      <c r="D34" s="12" t="n">
        <v>33135</v>
      </c>
      <c r="E34" s="12" t="n">
        <v>14</v>
      </c>
      <c r="F34" s="12" t="n">
        <v>7500</v>
      </c>
      <c r="G34" s="12" t="n">
        <v>7</v>
      </c>
      <c r="H34" s="12" t="n">
        <v>40635</v>
      </c>
      <c r="I34" s="11" t="n">
        <v>397</v>
      </c>
      <c r="J34" s="11" t="n">
        <v>55</v>
      </c>
      <c r="K34" s="11" t="n">
        <v>69611</v>
      </c>
      <c r="L34" s="11" t="n">
        <v>13021</v>
      </c>
      <c r="M34" s="11" t="n">
        <v>82632</v>
      </c>
      <c r="N34" s="12" t="n">
        <v>20533</v>
      </c>
      <c r="O34" s="12" t="n"/>
      <c r="P34" s="11" t="n"/>
      <c r="Q34" s="12" t="n"/>
      <c r="R34" s="11" t="n"/>
      <c r="S34" s="11" t="n"/>
      <c r="T34" s="11" t="n"/>
      <c r="U34" s="11" t="n"/>
    </row>
    <row r="35">
      <c r="A35" t="inlineStr">
        <is>
          <t>2023-08</t>
        </is>
      </c>
      <c r="B35" t="inlineStr">
        <is>
          <t>T8/2023</t>
        </is>
      </c>
      <c r="C35" t="inlineStr">
        <is>
          <t>31/08/2023</t>
        </is>
      </c>
      <c r="D35" t="n">
        <v>32791</v>
      </c>
      <c r="E35" t="n">
        <v>22</v>
      </c>
      <c r="F35" t="n">
        <v>1813</v>
      </c>
      <c r="H35" t="n">
        <v>34604</v>
      </c>
      <c r="I35" t="n">
        <v>-15</v>
      </c>
      <c r="J35" t="n">
        <v>53</v>
      </c>
      <c r="K35" t="n">
        <v>102402</v>
      </c>
      <c r="L35" t="n">
        <v>14834</v>
      </c>
      <c r="M35" t="n">
        <v>117236</v>
      </c>
      <c r="N35" t="n">
        <v>17489</v>
      </c>
    </row>
    <row r="36">
      <c r="A36" s="13" t="inlineStr">
        <is>
          <t>2023-09</t>
        </is>
      </c>
      <c r="B36" t="inlineStr">
        <is>
          <t>T9/2023</t>
        </is>
      </c>
      <c r="C36" t="inlineStr">
        <is>
          <t>30/09/2023</t>
        </is>
      </c>
      <c r="D36" t="n">
        <v>37509</v>
      </c>
      <c r="E36" t="n">
        <v>14</v>
      </c>
      <c r="F36" t="n">
        <v>3344</v>
      </c>
      <c r="H36" t="n">
        <v>40853</v>
      </c>
      <c r="I36" t="n">
        <v>18</v>
      </c>
      <c r="J36" t="n">
        <v>129</v>
      </c>
      <c r="K36" t="n">
        <v>139911</v>
      </c>
      <c r="L36" t="n">
        <v>18178</v>
      </c>
      <c r="M36" t="n">
        <v>158089</v>
      </c>
      <c r="N36" t="n">
        <v>9249</v>
      </c>
    </row>
    <row r="37">
      <c r="A37" t="inlineStr">
        <is>
          <t>2023-10</t>
        </is>
      </c>
      <c r="B37" t="inlineStr">
        <is>
          <t>T10/2023</t>
        </is>
      </c>
      <c r="C37" t="inlineStr">
        <is>
          <t>31/10/2023</t>
        </is>
      </c>
      <c r="D37" t="n">
        <v>28056</v>
      </c>
      <c r="E37" t="n">
        <v>18</v>
      </c>
      <c r="F37" t="n">
        <v>3092</v>
      </c>
      <c r="H37" t="n">
        <v>31148</v>
      </c>
      <c r="I37" t="n">
        <v>-24</v>
      </c>
      <c r="K37" t="n">
        <v>167967</v>
      </c>
      <c r="L37" t="n">
        <v>21270</v>
      </c>
      <c r="M37" t="n">
        <v>189237</v>
      </c>
      <c r="N37" t="n">
        <v>13645</v>
      </c>
      <c r="O37" t="n">
        <v>16</v>
      </c>
      <c r="P37" t="n">
        <v>1006</v>
      </c>
    </row>
    <row r="38">
      <c r="A38" t="inlineStr">
        <is>
          <t>2023-11</t>
        </is>
      </c>
      <c r="B38" t="inlineStr">
        <is>
          <t>T11/2023</t>
        </is>
      </c>
      <c r="C38" t="inlineStr">
        <is>
          <t>30/11/2023</t>
        </is>
      </c>
      <c r="D38" t="n">
        <v>35965</v>
      </c>
      <c r="E38" t="n">
        <v>27</v>
      </c>
      <c r="F38" t="n">
        <v>10000</v>
      </c>
      <c r="H38" t="n">
        <v>45965</v>
      </c>
      <c r="I38" t="n">
        <v>48</v>
      </c>
      <c r="J38" t="n">
        <v>2113</v>
      </c>
      <c r="K38" t="n">
        <v>203932</v>
      </c>
      <c r="L38" t="n">
        <v>31270</v>
      </c>
      <c r="M38" t="n">
        <v>235202</v>
      </c>
      <c r="N38" t="n">
        <v>8754</v>
      </c>
    </row>
    <row r="39">
      <c r="A39" t="inlineStr">
        <is>
          <t>2023-12</t>
        </is>
      </c>
      <c r="B39" t="inlineStr">
        <is>
          <t>T12/2023</t>
        </is>
      </c>
      <c r="C39" t="inlineStr">
        <is>
          <t>31/12/2023</t>
        </is>
      </c>
      <c r="D39" t="n">
        <v>66980</v>
      </c>
      <c r="E39" t="n">
        <v>55</v>
      </c>
      <c r="F39" t="n">
        <v>2813</v>
      </c>
      <c r="H39" t="n">
        <v>69793</v>
      </c>
      <c r="I39" t="n">
        <v>52</v>
      </c>
      <c r="J39" t="n">
        <v>228</v>
      </c>
      <c r="K39" t="n">
        <v>270912</v>
      </c>
      <c r="L39" t="n">
        <v>34083</v>
      </c>
      <c r="M39" t="n">
        <v>304995</v>
      </c>
      <c r="N39" t="n">
        <v>32677</v>
      </c>
      <c r="O39" t="n">
        <v>6</v>
      </c>
      <c r="P39" t="n">
        <v>545.7</v>
      </c>
    </row>
    <row r="40">
      <c r="A40" t="inlineStr">
        <is>
          <t>2024-01</t>
        </is>
      </c>
      <c r="B40" t="inlineStr">
        <is>
          <t>T1/2024</t>
        </is>
      </c>
      <c r="C40" t="inlineStr">
        <is>
          <t>31/01/2024</t>
        </is>
      </c>
      <c r="D40" t="n">
        <v>1650</v>
      </c>
      <c r="E40" t="n">
        <v>2</v>
      </c>
      <c r="F40" t="n">
        <v>2650</v>
      </c>
      <c r="G40" t="n">
        <v>1</v>
      </c>
      <c r="H40" t="n">
        <v>4300</v>
      </c>
      <c r="I40" t="n">
        <v>-94</v>
      </c>
      <c r="K40" t="n">
        <v>1650</v>
      </c>
      <c r="L40" t="n">
        <v>2650</v>
      </c>
      <c r="M40" t="n">
        <v>4300</v>
      </c>
      <c r="N40" t="n">
        <v>7394</v>
      </c>
      <c r="O40" t="n">
        <v>7</v>
      </c>
      <c r="P40" t="n">
        <v>8432</v>
      </c>
    </row>
    <row r="41">
      <c r="A41" t="inlineStr">
        <is>
          <t>2024-02</t>
        </is>
      </c>
      <c r="B41" t="inlineStr">
        <is>
          <t>T2/2024</t>
        </is>
      </c>
      <c r="C41" t="inlineStr">
        <is>
          <t>29/02/2024</t>
        </is>
      </c>
      <c r="D41" t="n">
        <v>2165</v>
      </c>
      <c r="E41" t="n">
        <v>3</v>
      </c>
      <c r="F41" t="n">
        <v>0</v>
      </c>
      <c r="G41" t="n">
        <v>0</v>
      </c>
      <c r="H41" t="n">
        <v>2165</v>
      </c>
      <c r="I41" t="n">
        <v>-50</v>
      </c>
      <c r="J41" t="n">
        <v>8</v>
      </c>
      <c r="K41" t="n">
        <v>3815</v>
      </c>
      <c r="L41" t="n">
        <v>2650</v>
      </c>
      <c r="M41" t="n">
        <v>6465</v>
      </c>
      <c r="N41" t="n">
        <v>2056</v>
      </c>
      <c r="O41" t="n">
        <v>7</v>
      </c>
      <c r="P41" t="n">
        <v>6213</v>
      </c>
    </row>
    <row r="42">
      <c r="A42" t="inlineStr">
        <is>
          <t>2024-03</t>
        </is>
      </c>
      <c r="B42" t="inlineStr">
        <is>
          <t>T3/2024</t>
        </is>
      </c>
      <c r="C42" t="inlineStr">
        <is>
          <t>31/03/2024</t>
        </is>
      </c>
      <c r="D42" t="n">
        <v>10795</v>
      </c>
      <c r="E42" t="n">
        <v>7</v>
      </c>
      <c r="F42" t="n">
        <v>6228</v>
      </c>
      <c r="G42" t="n">
        <v>0</v>
      </c>
      <c r="H42" t="n">
        <v>17023</v>
      </c>
      <c r="I42" t="n">
        <v>686</v>
      </c>
      <c r="J42" t="n">
        <v>-36</v>
      </c>
      <c r="K42" t="n">
        <v>14610</v>
      </c>
      <c r="L42" t="n">
        <v>8878</v>
      </c>
      <c r="M42" t="n">
        <v>23488</v>
      </c>
      <c r="N42" t="n">
        <v>8031</v>
      </c>
      <c r="O42" t="n">
        <v>7</v>
      </c>
      <c r="P42" t="n">
        <v>4851</v>
      </c>
      <c r="Q42" t="n">
        <v>91120</v>
      </c>
      <c r="S42" t="n">
        <v>51.8</v>
      </c>
    </row>
    <row r="43">
      <c r="A43" t="inlineStr">
        <is>
          <t>2024-04</t>
        </is>
      </c>
      <c r="B43" t="inlineStr">
        <is>
          <t>T4/2024</t>
        </is>
      </c>
      <c r="C43" t="inlineStr">
        <is>
          <t>30/04/2024</t>
        </is>
      </c>
      <c r="D43" t="n">
        <v>19227</v>
      </c>
      <c r="E43" t="n">
        <v>13</v>
      </c>
      <c r="F43" t="n">
        <v>0</v>
      </c>
      <c r="G43" t="n">
        <v>0</v>
      </c>
      <c r="H43" t="n">
        <v>19227</v>
      </c>
      <c r="I43" t="n">
        <v>13</v>
      </c>
      <c r="J43" t="n">
        <v>620</v>
      </c>
      <c r="K43" t="n">
        <v>33837</v>
      </c>
      <c r="L43" t="n">
        <v>8878</v>
      </c>
      <c r="M43" t="n">
        <v>42715</v>
      </c>
      <c r="N43" t="n">
        <v>12001</v>
      </c>
      <c r="O43" t="n">
        <v>1</v>
      </c>
      <c r="P43" t="n">
        <v>47</v>
      </c>
      <c r="Q43" t="n">
        <v>68406</v>
      </c>
      <c r="S43" t="n">
        <v>-25</v>
      </c>
    </row>
    <row r="44">
      <c r="A44" t="inlineStr">
        <is>
          <t>2024-05</t>
        </is>
      </c>
      <c r="B44" t="inlineStr">
        <is>
          <t>T5/2024</t>
        </is>
      </c>
      <c r="C44" t="inlineStr">
        <is>
          <t>31/05/2024</t>
        </is>
      </c>
      <c r="D44" t="n">
        <v>29345</v>
      </c>
      <c r="E44" t="n">
        <v>19</v>
      </c>
      <c r="F44" t="n">
        <v>500</v>
      </c>
      <c r="G44" t="n">
        <v>0</v>
      </c>
      <c r="H44" t="n">
        <v>29845</v>
      </c>
      <c r="I44" t="n">
        <v>55</v>
      </c>
      <c r="J44" t="n">
        <v>1048</v>
      </c>
      <c r="K44" t="n">
        <v>63182</v>
      </c>
      <c r="L44" t="n">
        <v>9378</v>
      </c>
      <c r="M44" t="n">
        <v>72560</v>
      </c>
      <c r="N44" t="n">
        <v>9178</v>
      </c>
      <c r="O44" t="n">
        <v>10</v>
      </c>
      <c r="P44" t="n">
        <v>8781</v>
      </c>
      <c r="Q44" t="n">
        <v>97581</v>
      </c>
      <c r="R44" t="n">
        <v>4435</v>
      </c>
      <c r="S44" t="n">
        <v>23</v>
      </c>
    </row>
    <row r="45">
      <c r="A45" t="inlineStr">
        <is>
          <t>2024-06</t>
        </is>
      </c>
      <c r="B45" t="inlineStr">
        <is>
          <t>T6/2024</t>
        </is>
      </c>
      <c r="C45" t="inlineStr">
        <is>
          <t>30/06/2024</t>
        </is>
      </c>
      <c r="D45" t="n">
        <v>73265</v>
      </c>
      <c r="E45" t="n">
        <v>30</v>
      </c>
      <c r="F45" t="n">
        <v>2000</v>
      </c>
      <c r="G45" t="n">
        <v>3</v>
      </c>
      <c r="H45" t="n">
        <v>75265</v>
      </c>
      <c r="I45" t="n">
        <v>152</v>
      </c>
      <c r="J45" t="n">
        <v>821</v>
      </c>
      <c r="K45" t="n">
        <v>136447</v>
      </c>
      <c r="L45" t="n">
        <v>11378</v>
      </c>
      <c r="M45" t="n">
        <v>147825</v>
      </c>
      <c r="N45" t="n">
        <v>13336</v>
      </c>
      <c r="O45" t="n">
        <v>2</v>
      </c>
      <c r="P45" t="n">
        <v>980</v>
      </c>
      <c r="Q45" t="n">
        <v>99467</v>
      </c>
      <c r="R45" t="n">
        <v>4973</v>
      </c>
      <c r="S45" t="n">
        <v>1.93</v>
      </c>
    </row>
    <row r="46">
      <c r="A46" t="inlineStr">
        <is>
          <t>2024-07</t>
        </is>
      </c>
      <c r="B46" t="inlineStr">
        <is>
          <t>T7/2024</t>
        </is>
      </c>
      <c r="C46" t="inlineStr">
        <is>
          <t>31/07/2024</t>
        </is>
      </c>
      <c r="D46" t="n">
        <v>40542</v>
      </c>
      <c r="E46" t="n">
        <v>33</v>
      </c>
      <c r="F46" t="n">
        <v>395</v>
      </c>
      <c r="G46" t="n">
        <v>1</v>
      </c>
      <c r="H46" t="n">
        <v>40937</v>
      </c>
      <c r="I46" t="n">
        <v>-46</v>
      </c>
      <c r="J46" t="n">
        <v>1</v>
      </c>
      <c r="K46" t="n">
        <v>176989</v>
      </c>
      <c r="L46" t="n">
        <v>11773</v>
      </c>
      <c r="M46" t="n">
        <v>188762</v>
      </c>
      <c r="N46" t="n">
        <v>32094</v>
      </c>
      <c r="O46" t="n">
        <v>4</v>
      </c>
      <c r="P46" t="n">
        <v>3392</v>
      </c>
      <c r="Q46" t="n">
        <v>84406</v>
      </c>
      <c r="R46" t="n">
        <v>3670</v>
      </c>
      <c r="S46" t="n">
        <v>-15.14</v>
      </c>
    </row>
    <row r="47">
      <c r="A47" t="inlineStr">
        <is>
          <t>2024-08</t>
        </is>
      </c>
      <c r="B47" t="inlineStr">
        <is>
          <t>T8/2024</t>
        </is>
      </c>
      <c r="C47" t="inlineStr">
        <is>
          <t>31/08/2024</t>
        </is>
      </c>
      <c r="D47" t="n">
        <v>50474</v>
      </c>
      <c r="E47" t="n">
        <v>43</v>
      </c>
      <c r="F47" t="n">
        <v>11000</v>
      </c>
      <c r="G47" t="n">
        <v>2</v>
      </c>
      <c r="H47" t="n">
        <v>61474</v>
      </c>
      <c r="I47" t="n">
        <v>50</v>
      </c>
      <c r="J47" t="n">
        <v>78</v>
      </c>
      <c r="K47" t="n">
        <v>227463</v>
      </c>
      <c r="L47" t="n">
        <v>22773</v>
      </c>
      <c r="M47" t="n">
        <v>250236</v>
      </c>
      <c r="N47" t="n">
        <v>11023</v>
      </c>
      <c r="O47" t="n">
        <v>11</v>
      </c>
      <c r="P47" t="n">
        <v>1195.5</v>
      </c>
      <c r="Q47" t="n">
        <v>72740</v>
      </c>
      <c r="R47" t="n">
        <v>3294</v>
      </c>
      <c r="S47" t="n">
        <v>-13.82</v>
      </c>
    </row>
    <row r="48">
      <c r="A48" t="inlineStr">
        <is>
          <t>2024-09</t>
        </is>
      </c>
      <c r="B48" t="inlineStr">
        <is>
          <t>T9/2024</t>
        </is>
      </c>
      <c r="C48" t="inlineStr">
        <is>
          <t>30/09/2024</t>
        </is>
      </c>
      <c r="D48" t="n">
        <v>54764</v>
      </c>
      <c r="E48" t="n">
        <v>24</v>
      </c>
      <c r="F48" t="n">
        <v>1469</v>
      </c>
      <c r="G48" t="n">
        <v>1</v>
      </c>
      <c r="H48" t="n">
        <v>56233</v>
      </c>
      <c r="I48" t="n">
        <v>-9</v>
      </c>
      <c r="J48" t="n">
        <v>38</v>
      </c>
      <c r="K48" t="n">
        <v>282227</v>
      </c>
      <c r="L48" t="n">
        <v>24242</v>
      </c>
      <c r="M48" t="n">
        <v>306469</v>
      </c>
      <c r="N48" t="n">
        <v>11749</v>
      </c>
      <c r="O48" t="n">
        <v>28</v>
      </c>
      <c r="P48" t="n">
        <v>789.8</v>
      </c>
      <c r="Q48" t="n">
        <v>87768</v>
      </c>
      <c r="R48" t="n">
        <v>4619</v>
      </c>
      <c r="S48" t="n">
        <v>21.11</v>
      </c>
    </row>
    <row r="49">
      <c r="A49" t="inlineStr">
        <is>
          <t>2024-10</t>
        </is>
      </c>
      <c r="B49" t="inlineStr">
        <is>
          <t>T10/2024</t>
        </is>
      </c>
      <c r="C49" t="inlineStr">
        <is>
          <t>31/10/2024</t>
        </is>
      </c>
      <c r="D49" t="n">
        <v>34006</v>
      </c>
      <c r="E49" t="n">
        <v>21</v>
      </c>
      <c r="F49" t="n">
        <v>5059</v>
      </c>
      <c r="G49" t="n">
        <v>4</v>
      </c>
      <c r="H49" t="n">
        <v>39065</v>
      </c>
      <c r="I49" t="n">
        <v>-31</v>
      </c>
      <c r="J49" t="n">
        <v>25</v>
      </c>
      <c r="K49" t="n">
        <v>316233</v>
      </c>
      <c r="L49" t="n">
        <v>29301</v>
      </c>
      <c r="M49" t="n">
        <v>345534</v>
      </c>
      <c r="N49" t="n">
        <v>12772</v>
      </c>
      <c r="O49" t="n">
        <v>1</v>
      </c>
      <c r="P49" t="n">
        <v>2658</v>
      </c>
      <c r="Q49" t="n">
        <v>121223</v>
      </c>
      <c r="R49" t="n">
        <v>5271</v>
      </c>
      <c r="S49" t="n">
        <v>38.12</v>
      </c>
    </row>
    <row r="50">
      <c r="A50" t="inlineStr">
        <is>
          <t>2024-11</t>
        </is>
      </c>
      <c r="B50" t="inlineStr">
        <is>
          <t>T11/2024</t>
        </is>
      </c>
      <c r="C50" t="inlineStr">
        <is>
          <t>30/11/2024</t>
        </is>
      </c>
      <c r="D50" t="n">
        <v>35423</v>
      </c>
      <c r="E50" t="n">
        <v>29</v>
      </c>
      <c r="F50" t="n">
        <v>0</v>
      </c>
      <c r="G50" t="n">
        <v>0</v>
      </c>
      <c r="H50" t="n">
        <v>35423</v>
      </c>
      <c r="I50" t="n">
        <v>-9</v>
      </c>
      <c r="J50" t="n">
        <v>-23</v>
      </c>
      <c r="K50" t="n">
        <v>351656</v>
      </c>
      <c r="L50" t="n">
        <v>29301</v>
      </c>
      <c r="M50" t="n">
        <v>380957</v>
      </c>
      <c r="N50" t="n">
        <v>6204</v>
      </c>
      <c r="O50" t="n">
        <v>7</v>
      </c>
      <c r="P50" t="n">
        <v>151.4</v>
      </c>
      <c r="Q50" t="n">
        <v>95357</v>
      </c>
      <c r="R50" t="n">
        <v>4541</v>
      </c>
      <c r="S50" t="n">
        <v>-21.34</v>
      </c>
      <c r="T50" t="n">
        <v>35.67</v>
      </c>
    </row>
    <row r="51">
      <c r="A51" t="inlineStr">
        <is>
          <t>2024-12</t>
        </is>
      </c>
      <c r="B51" t="inlineStr">
        <is>
          <t>T12/2024</t>
        </is>
      </c>
      <c r="C51" t="inlineStr">
        <is>
          <t>31/12/2024</t>
        </is>
      </c>
      <c r="D51" t="n">
        <v>79128</v>
      </c>
      <c r="E51" t="n">
        <v>54</v>
      </c>
      <c r="F51" t="n">
        <v>800</v>
      </c>
      <c r="G51" t="n">
        <v>1</v>
      </c>
      <c r="H51" t="n">
        <v>79928</v>
      </c>
      <c r="I51" t="n">
        <v>126</v>
      </c>
      <c r="J51" t="n">
        <v>15</v>
      </c>
      <c r="K51" t="n">
        <v>430784</v>
      </c>
      <c r="L51" t="n">
        <v>30101</v>
      </c>
      <c r="M51" t="n">
        <v>460885</v>
      </c>
      <c r="N51" t="n">
        <v>27458</v>
      </c>
      <c r="O51" t="n">
        <v>3</v>
      </c>
      <c r="P51" t="n">
        <v>80.3</v>
      </c>
      <c r="Q51" t="n">
        <v>131786</v>
      </c>
      <c r="R51" t="n">
        <v>5990</v>
      </c>
      <c r="S51" t="n">
        <v>38.2</v>
      </c>
      <c r="T51" t="n">
        <v>33.83</v>
      </c>
    </row>
    <row r="52">
      <c r="A52" t="inlineStr">
        <is>
          <t>2025-01</t>
        </is>
      </c>
      <c r="B52" t="inlineStr">
        <is>
          <t>T1/2025</t>
        </is>
      </c>
      <c r="C52" t="inlineStr">
        <is>
          <t>31/01/2025</t>
        </is>
      </c>
      <c r="D52" t="n">
        <v>0</v>
      </c>
      <c r="E52" t="n">
        <v>0</v>
      </c>
      <c r="F52" t="n">
        <v>5554</v>
      </c>
      <c r="G52" t="n">
        <v>4</v>
      </c>
      <c r="H52" t="n">
        <v>5554</v>
      </c>
      <c r="I52" t="n">
        <v>-93</v>
      </c>
      <c r="J52" t="n">
        <v>29</v>
      </c>
      <c r="K52" t="n">
        <v>0</v>
      </c>
      <c r="L52" t="n">
        <v>5554</v>
      </c>
      <c r="M52" t="n">
        <v>5554</v>
      </c>
      <c r="N52" t="n">
        <v>5661</v>
      </c>
      <c r="O52" t="n">
        <v>0</v>
      </c>
      <c r="P52" t="n">
        <v>0</v>
      </c>
      <c r="Q52" t="n">
        <v>80128</v>
      </c>
      <c r="R52" t="n">
        <v>4713</v>
      </c>
      <c r="S52" t="n">
        <v>-39.2</v>
      </c>
      <c r="T52" t="n">
        <v>7.5</v>
      </c>
      <c r="U52" t="n">
        <v>80128</v>
      </c>
    </row>
    <row r="53">
      <c r="A53" t="inlineStr">
        <is>
          <t>2025-02</t>
        </is>
      </c>
      <c r="B53" t="inlineStr">
        <is>
          <t>T2/2025</t>
        </is>
      </c>
      <c r="C53" t="inlineStr">
        <is>
          <t>28/02/2025</t>
        </is>
      </c>
      <c r="D53" t="n">
        <v>0</v>
      </c>
      <c r="E53" t="n">
        <v>0</v>
      </c>
      <c r="F53" t="n">
        <v>2351</v>
      </c>
      <c r="G53" t="n">
        <v>0</v>
      </c>
      <c r="H53" t="n">
        <v>2351</v>
      </c>
      <c r="I53" t="n">
        <v>-58</v>
      </c>
      <c r="J53" t="n">
        <v>9</v>
      </c>
      <c r="K53" t="n">
        <v>0</v>
      </c>
      <c r="L53" t="n">
        <v>7905</v>
      </c>
      <c r="M53" t="n">
        <v>7905</v>
      </c>
      <c r="N53" t="n">
        <v>2592</v>
      </c>
      <c r="O53" t="n">
        <v>1</v>
      </c>
      <c r="P53" t="n">
        <v>39</v>
      </c>
      <c r="Q53" t="n">
        <v>73491</v>
      </c>
      <c r="R53" t="n">
        <v>3675</v>
      </c>
      <c r="S53" t="n">
        <v>-8.279999999999999</v>
      </c>
      <c r="T53" t="n">
        <v>44.5</v>
      </c>
      <c r="U53" t="n">
        <v>153619</v>
      </c>
    </row>
    <row r="54">
      <c r="A54" t="inlineStr">
        <is>
          <t>2025-03</t>
        </is>
      </c>
      <c r="B54" t="inlineStr">
        <is>
          <t>T3/2025</t>
        </is>
      </c>
      <c r="C54" t="inlineStr">
        <is>
          <t>31/03/2025</t>
        </is>
      </c>
      <c r="D54" t="n">
        <v>2000</v>
      </c>
      <c r="E54" t="n">
        <v>1</v>
      </c>
      <c r="F54" t="n">
        <v>15199</v>
      </c>
      <c r="G54" t="n">
        <v>4</v>
      </c>
      <c r="H54" t="n">
        <v>17199</v>
      </c>
      <c r="I54" t="n">
        <v>632</v>
      </c>
      <c r="J54" t="n">
        <v>1</v>
      </c>
      <c r="K54" t="n">
        <v>2000</v>
      </c>
      <c r="L54" t="n">
        <v>23104</v>
      </c>
      <c r="M54" t="n">
        <v>25104</v>
      </c>
      <c r="N54" t="n">
        <v>5430</v>
      </c>
      <c r="O54" t="n">
        <v>7</v>
      </c>
      <c r="P54" t="n">
        <v>660</v>
      </c>
      <c r="Q54" t="n">
        <v>120858</v>
      </c>
      <c r="R54" t="n">
        <v>5755</v>
      </c>
      <c r="S54" t="n">
        <v>64.45</v>
      </c>
      <c r="T54" t="n">
        <v>32.6</v>
      </c>
      <c r="U54" t="n">
        <v>274477</v>
      </c>
    </row>
    <row r="55">
      <c r="A55" t="inlineStr">
        <is>
          <t>2025-04</t>
        </is>
      </c>
      <c r="B55" t="inlineStr">
        <is>
          <t>T4/2025</t>
        </is>
      </c>
      <c r="C55" t="inlineStr">
        <is>
          <t>30/04/2025</t>
        </is>
      </c>
      <c r="D55" t="n">
        <v>44011</v>
      </c>
      <c r="E55" t="n">
        <v>19</v>
      </c>
      <c r="F55" t="n">
        <v>4800</v>
      </c>
      <c r="G55" t="n">
        <v>2</v>
      </c>
      <c r="H55" t="n">
        <v>48811</v>
      </c>
      <c r="I55" t="n">
        <v>184</v>
      </c>
      <c r="J55" t="n">
        <v>154</v>
      </c>
      <c r="K55" t="n">
        <v>46011</v>
      </c>
      <c r="L55" t="n">
        <v>27904</v>
      </c>
      <c r="M55" t="n">
        <v>73915</v>
      </c>
      <c r="N55" t="n">
        <v>10318</v>
      </c>
      <c r="O55" t="n">
        <v>2</v>
      </c>
      <c r="P55" t="n">
        <v>10.3</v>
      </c>
      <c r="Q55" t="n">
        <v>100470</v>
      </c>
      <c r="R55" t="n">
        <v>5023</v>
      </c>
      <c r="S55" t="n">
        <v>-16.87</v>
      </c>
      <c r="T55" t="n">
        <v>46.9</v>
      </c>
      <c r="U55" t="n">
        <v>374947</v>
      </c>
    </row>
    <row r="56">
      <c r="A56" t="inlineStr">
        <is>
          <t>2025-05</t>
        </is>
      </c>
      <c r="B56" t="inlineStr">
        <is>
          <t>T5/2025</t>
        </is>
      </c>
      <c r="C56" t="inlineStr">
        <is>
          <t>31/05/2025</t>
        </is>
      </c>
      <c r="D56" t="n">
        <v>69171</v>
      </c>
      <c r="E56" t="n">
        <v>42</v>
      </c>
      <c r="F56" t="n">
        <v>0</v>
      </c>
      <c r="G56" t="n">
        <v>0</v>
      </c>
      <c r="H56" t="n">
        <v>69171</v>
      </c>
      <c r="I56" t="n">
        <v>42</v>
      </c>
      <c r="J56" t="n">
        <v>132</v>
      </c>
      <c r="K56" t="n">
        <v>115182</v>
      </c>
      <c r="L56" t="n">
        <v>27904</v>
      </c>
      <c r="M56" t="n">
        <v>143086</v>
      </c>
      <c r="N56" t="n">
        <v>15858</v>
      </c>
      <c r="O56" t="n">
        <v>6</v>
      </c>
      <c r="P56" t="n">
        <v>306</v>
      </c>
      <c r="Q56" t="n">
        <v>111260</v>
      </c>
      <c r="R56" t="n">
        <v>5563</v>
      </c>
      <c r="S56" t="n">
        <v>10.74</v>
      </c>
      <c r="T56" t="n">
        <v>14</v>
      </c>
      <c r="U56" t="n">
        <v>486207</v>
      </c>
    </row>
    <row r="57">
      <c r="A57" t="inlineStr">
        <is>
          <t>2025-06</t>
        </is>
      </c>
      <c r="B57" t="inlineStr">
        <is>
          <t>T6/2025</t>
        </is>
      </c>
      <c r="C57" t="inlineStr">
        <is>
          <t>30/06/2025</t>
        </is>
      </c>
      <c r="D57" t="n">
        <v>125482</v>
      </c>
      <c r="E57" t="n">
        <v>65</v>
      </c>
      <c r="F57" t="n">
        <v>0</v>
      </c>
      <c r="G57" t="n">
        <v>0</v>
      </c>
      <c r="H57" t="n">
        <v>125482</v>
      </c>
      <c r="I57" t="n">
        <v>81</v>
      </c>
      <c r="J57" t="n">
        <v>67</v>
      </c>
      <c r="K57" t="n">
        <v>240664</v>
      </c>
      <c r="L57" t="n">
        <v>27904</v>
      </c>
      <c r="M57" t="n">
        <v>268568</v>
      </c>
      <c r="N57" t="n">
        <v>39265</v>
      </c>
      <c r="O57" t="n">
        <v>7</v>
      </c>
      <c r="P57" t="n">
        <v>5224</v>
      </c>
      <c r="Q57" t="n">
        <v>129040</v>
      </c>
      <c r="R57" t="n">
        <v>6145</v>
      </c>
      <c r="S57" t="n">
        <v>15.98</v>
      </c>
      <c r="T57" t="n">
        <v>29.7</v>
      </c>
      <c r="U57" t="n">
        <v>615247</v>
      </c>
    </row>
    <row r="58">
      <c r="A58" t="inlineStr">
        <is>
          <t>2025-07</t>
        </is>
      </c>
      <c r="B58" t="inlineStr">
        <is>
          <t>T7/2025</t>
        </is>
      </c>
      <c r="C58" t="inlineStr">
        <is>
          <t>31/07/2025</t>
        </is>
      </c>
      <c r="D58" t="n">
        <v>31704</v>
      </c>
      <c r="E58" t="n">
        <v>31</v>
      </c>
      <c r="F58" t="n">
        <v>13549</v>
      </c>
      <c r="G58" t="n">
        <v>1</v>
      </c>
      <c r="H58" t="n">
        <v>45253</v>
      </c>
      <c r="I58" t="n">
        <v>-64</v>
      </c>
      <c r="J58" t="n">
        <v>11</v>
      </c>
      <c r="K58" t="n">
        <v>272368</v>
      </c>
      <c r="L58" t="n">
        <v>41453</v>
      </c>
      <c r="M58" t="n">
        <v>313821</v>
      </c>
      <c r="N58" t="n">
        <v>16054</v>
      </c>
      <c r="O58" t="n">
        <v>7</v>
      </c>
      <c r="P58" t="n">
        <v>881</v>
      </c>
      <c r="Q58" t="n">
        <v>132027</v>
      </c>
      <c r="R58" t="n">
        <v>5740</v>
      </c>
      <c r="S58" t="n">
        <v>2.31</v>
      </c>
      <c r="T58" t="n">
        <v>56.4</v>
      </c>
      <c r="U58" t="n">
        <v>747250</v>
      </c>
    </row>
    <row r="59">
      <c r="A59" t="inlineStr">
        <is>
          <t>2025-08</t>
        </is>
      </c>
      <c r="B59" t="inlineStr">
        <is>
          <t>T8/2025</t>
        </is>
      </c>
      <c r="C59" t="inlineStr">
        <is>
          <t>30/08/2025</t>
        </is>
      </c>
      <c r="D59" t="n">
        <v>54030</v>
      </c>
      <c r="E59" t="n">
        <v>37</v>
      </c>
      <c r="F59" t="n">
        <v>6332</v>
      </c>
      <c r="G59" t="n">
        <v>6</v>
      </c>
      <c r="H59" t="n">
        <v>60362</v>
      </c>
      <c r="I59" t="n">
        <v>33</v>
      </c>
      <c r="J59" t="n">
        <v>-4</v>
      </c>
      <c r="K59" t="n">
        <v>326398</v>
      </c>
      <c r="L59" t="n">
        <v>47785</v>
      </c>
      <c r="M59" t="n">
        <v>374183</v>
      </c>
      <c r="N59" t="n">
        <v>27032</v>
      </c>
      <c r="O59" t="n">
        <v>4</v>
      </c>
      <c r="P59" t="n">
        <v>313</v>
      </c>
      <c r="Q59" t="n">
        <v>109288</v>
      </c>
      <c r="R59" t="n">
        <v>5204</v>
      </c>
      <c r="S59" t="n">
        <v>-17.22</v>
      </c>
      <c r="T59" t="n">
        <v>50.8</v>
      </c>
      <c r="U59" t="n">
        <v>856538</v>
      </c>
    </row>
    <row r="60">
      <c r="A60" t="inlineStr">
        <is>
          <t>2025-09</t>
        </is>
      </c>
      <c r="B60" t="inlineStr">
        <is>
          <t>T9/2025</t>
        </is>
      </c>
      <c r="C60" t="inlineStr">
        <is>
          <t>30/09/2025</t>
        </is>
      </c>
      <c r="D60" t="n">
        <v>50070</v>
      </c>
      <c r="E60" t="n">
        <v>26</v>
      </c>
      <c r="F60" t="n">
        <v>499</v>
      </c>
      <c r="G60" t="n">
        <v>1</v>
      </c>
      <c r="H60" t="n">
        <v>50569</v>
      </c>
      <c r="I60" t="n">
        <v>-16</v>
      </c>
      <c r="J60" t="n">
        <v>-10</v>
      </c>
      <c r="K60" t="n">
        <v>376468</v>
      </c>
      <c r="L60" t="n">
        <v>48284</v>
      </c>
      <c r="M60" t="n">
        <v>424752</v>
      </c>
      <c r="N60" t="n">
        <v>19509</v>
      </c>
      <c r="O60" t="n">
        <v>5</v>
      </c>
      <c r="P60" t="n">
        <v>150</v>
      </c>
      <c r="Q60" t="n">
        <v>150766</v>
      </c>
      <c r="R60" t="n">
        <v>7538</v>
      </c>
      <c r="S60" t="n">
        <v>38</v>
      </c>
      <c r="T60" t="n">
        <v>71.8</v>
      </c>
      <c r="U60" t="n">
        <v>1007304</v>
      </c>
    </row>
    <row r="61">
      <c r="A61" t="inlineStr">
        <is>
          <t>2025-10</t>
        </is>
      </c>
      <c r="B61" t="inlineStr">
        <is>
          <t>T10/2025</t>
        </is>
      </c>
      <c r="C61" t="inlineStr">
        <is>
          <t>31/10/2025</t>
        </is>
      </c>
      <c r="D61" t="n">
        <v>64602</v>
      </c>
      <c r="E61" t="n">
        <v>38</v>
      </c>
      <c r="F61" t="n">
        <v>2299</v>
      </c>
      <c r="G61" t="n">
        <v>4</v>
      </c>
      <c r="H61" t="n">
        <v>66902</v>
      </c>
      <c r="I61" t="n">
        <v>32</v>
      </c>
      <c r="J61" t="n">
        <v>71</v>
      </c>
      <c r="K61" t="n">
        <v>441070</v>
      </c>
      <c r="L61" t="n">
        <v>50583</v>
      </c>
      <c r="M61" t="n">
        <v>491654</v>
      </c>
      <c r="N61" t="n">
        <v>9948</v>
      </c>
      <c r="O61" t="n">
        <v>5</v>
      </c>
      <c r="P61" t="n">
        <v>714</v>
      </c>
      <c r="Q61" t="n">
        <v>101755</v>
      </c>
      <c r="R61" t="n">
        <v>4424</v>
      </c>
      <c r="S61" t="n">
        <v>-32.51</v>
      </c>
      <c r="T61" t="n">
        <v>-16.1</v>
      </c>
      <c r="U61" t="n">
        <v>1109059</v>
      </c>
    </row>
    <row r="62">
      <c r="A62" t="inlineStr">
        <is>
          <t>2025-11</t>
        </is>
      </c>
      <c r="B62" t="inlineStr">
        <is>
          <t>T11/2025</t>
        </is>
      </c>
      <c r="C62" t="inlineStr">
        <is>
          <t>30/11/2025</t>
        </is>
      </c>
      <c r="D62" t="n">
        <v>35243</v>
      </c>
      <c r="E62" t="n">
        <v>24</v>
      </c>
      <c r="F62" t="n">
        <v>0</v>
      </c>
      <c r="G62" t="n">
        <v>0</v>
      </c>
      <c r="H62" t="n">
        <v>35243</v>
      </c>
      <c r="I62" t="n">
        <v>-47</v>
      </c>
      <c r="J62" t="n">
        <v>-4</v>
      </c>
      <c r="K62" t="n">
        <v>476313</v>
      </c>
      <c r="L62" t="n">
        <v>50583</v>
      </c>
      <c r="M62" t="n">
        <v>526897</v>
      </c>
      <c r="N62" t="n">
        <v>11144</v>
      </c>
      <c r="O62" t="n">
        <v>3</v>
      </c>
      <c r="P62" t="n">
        <v>287</v>
      </c>
      <c r="Q62" t="n">
        <v>110470</v>
      </c>
      <c r="R62" t="n">
        <v>5524</v>
      </c>
      <c r="S62" t="n">
        <v>8.56</v>
      </c>
      <c r="T62" t="n">
        <v>15.8</v>
      </c>
      <c r="U62" t="n">
        <v>1219529</v>
      </c>
    </row>
    <row r="63">
      <c r="A63" t="inlineStr">
        <is>
          <t>2025-12</t>
        </is>
      </c>
      <c r="B63" t="inlineStr">
        <is>
          <t>T12/2025</t>
        </is>
      </c>
      <c r="C63" t="inlineStr">
        <is>
          <t>31/12/2025</t>
        </is>
      </c>
      <c r="D63" t="n">
        <v>96143</v>
      </c>
      <c r="E63" t="n">
        <v>62</v>
      </c>
      <c r="F63" t="n">
        <v>4771</v>
      </c>
      <c r="G63" t="n">
        <v>6</v>
      </c>
      <c r="H63" t="n">
        <v>100914</v>
      </c>
      <c r="I63" t="n">
        <v>186</v>
      </c>
      <c r="J63" t="n">
        <v>23</v>
      </c>
      <c r="K63" t="n">
        <v>572456</v>
      </c>
      <c r="L63" t="n">
        <v>55354</v>
      </c>
      <c r="M63" t="n">
        <v>627811</v>
      </c>
      <c r="N63" t="n">
        <v>35820</v>
      </c>
      <c r="O63" t="n">
        <v>3</v>
      </c>
      <c r="P63" t="n">
        <v>110</v>
      </c>
      <c r="Q63" t="n">
        <v>176770</v>
      </c>
      <c r="R63" t="n">
        <v>7686</v>
      </c>
      <c r="S63" t="n">
        <v>60.02</v>
      </c>
      <c r="T63" t="n">
        <v>34.1</v>
      </c>
      <c r="U63" t="n">
        <v>1396299</v>
      </c>
    </row>
    <row r="64">
      <c r="A64" t="inlineStr">
        <is>
          <t>2026-01</t>
        </is>
      </c>
      <c r="B64" t="inlineStr">
        <is>
          <t>T1/2026</t>
        </is>
      </c>
      <c r="C64" t="inlineStr">
        <is>
          <t>31/01/2026</t>
        </is>
      </c>
      <c r="D64" t="n">
        <v>190</v>
      </c>
      <c r="E64" t="n">
        <v>1</v>
      </c>
      <c r="F64" t="n">
        <v>4811</v>
      </c>
      <c r="G64" t="n">
        <v>3</v>
      </c>
      <c r="H64" t="n">
        <v>5001</v>
      </c>
      <c r="I64" t="n">
        <v>-95</v>
      </c>
      <c r="J64" t="n">
        <v>-10</v>
      </c>
      <c r="K64" t="n">
        <v>190</v>
      </c>
      <c r="L64" t="n">
        <v>4811</v>
      </c>
      <c r="M64" t="n">
        <v>5001</v>
      </c>
      <c r="N64" t="n">
        <v>384</v>
      </c>
      <c r="O64" t="n">
        <v>4</v>
      </c>
      <c r="P64" t="n">
        <v>746</v>
      </c>
      <c r="Q64" t="n">
        <v>108730</v>
      </c>
      <c r="R64" t="n">
        <v>5437</v>
      </c>
      <c r="S64" t="n">
        <v>-38.49</v>
      </c>
      <c r="T64" t="n">
        <v>35.7</v>
      </c>
      <c r="U64" t="n">
        <v>108730</v>
      </c>
    </row>
    <row r="65">
      <c r="A65" t="inlineStr">
        <is>
          <t>2026-02</t>
        </is>
      </c>
      <c r="B65" t="inlineStr">
        <is>
          <t>T2/2026</t>
        </is>
      </c>
      <c r="C65" t="inlineStr">
        <is>
          <t>28/02/2026</t>
        </is>
      </c>
      <c r="D65" t="n">
        <v>80</v>
      </c>
      <c r="E65" t="n">
        <v>1</v>
      </c>
      <c r="F65" t="n">
        <v>3301</v>
      </c>
      <c r="G65" t="n">
        <v>3</v>
      </c>
      <c r="H65" t="n">
        <v>3381</v>
      </c>
      <c r="I65" t="n">
        <v>-32</v>
      </c>
      <c r="J65" t="n">
        <v>44</v>
      </c>
      <c r="K65" t="n">
        <v>270</v>
      </c>
      <c r="L65" t="n">
        <v>8112</v>
      </c>
      <c r="M65" t="n">
        <v>8382</v>
      </c>
      <c r="N65" t="n">
        <v>1749</v>
      </c>
      <c r="O65" t="n">
        <v>3</v>
      </c>
      <c r="P65" t="n">
        <v>490</v>
      </c>
      <c r="Q65" t="n">
        <v>63184</v>
      </c>
      <c r="R65" t="n">
        <v>4212</v>
      </c>
      <c r="S65" t="n">
        <v>-41.89</v>
      </c>
      <c r="T65" t="n">
        <v>-14</v>
      </c>
      <c r="U65" t="n">
        <v>171914</v>
      </c>
    </row>
    <row r="66">
      <c r="A66" t="inlineStr">
        <is>
          <t>2026-03</t>
        </is>
      </c>
      <c r="B66" t="inlineStr">
        <is>
          <t>T3/2026</t>
        </is>
      </c>
      <c r="C66" t="inlineStr">
        <is>
          <t>31/03/2026</t>
        </is>
      </c>
      <c r="D66" t="n">
        <v>27036</v>
      </c>
      <c r="E66" t="n">
        <v>3</v>
      </c>
      <c r="F66" t="n">
        <v>6111</v>
      </c>
      <c r="G66" t="n">
        <v>2</v>
      </c>
      <c r="H66" t="n">
        <v>33147</v>
      </c>
      <c r="I66" t="n">
        <v>880</v>
      </c>
      <c r="J66" t="n">
        <v>93</v>
      </c>
      <c r="K66" t="n">
        <v>27306</v>
      </c>
      <c r="L66" t="n">
        <v>14223</v>
      </c>
      <c r="M66" t="n">
        <v>41529</v>
      </c>
      <c r="N66" t="n">
        <v>6298</v>
      </c>
      <c r="O66" t="n">
        <v>10</v>
      </c>
      <c r="P66" t="n">
        <v>2205</v>
      </c>
      <c r="Q66" t="n">
        <v>151283</v>
      </c>
      <c r="R66" t="n">
        <v>6877</v>
      </c>
      <c r="S66" t="n">
        <v>139.43</v>
      </c>
      <c r="T66" t="n">
        <v>25.2</v>
      </c>
      <c r="U66" t="n">
        <v>323197</v>
      </c>
    </row>
    <row r="67">
      <c r="A67" t="inlineStr">
        <is>
          <t>2026-04</t>
        </is>
      </c>
      <c r="B67" t="inlineStr">
        <is>
          <t>T4/2026</t>
        </is>
      </c>
      <c r="C67" t="inlineStr">
        <is>
          <t>29/04/2026</t>
        </is>
      </c>
      <c r="D67" t="n">
        <v>43450</v>
      </c>
      <c r="E67" t="n">
        <v>17</v>
      </c>
      <c r="F67" t="n">
        <v>2000</v>
      </c>
      <c r="G67" t="n">
        <v>1</v>
      </c>
      <c r="H67" t="n">
        <v>45450</v>
      </c>
      <c r="I67" t="n">
        <v>37</v>
      </c>
      <c r="J67" t="n">
        <v>-7</v>
      </c>
      <c r="K67" t="n">
        <v>70756</v>
      </c>
      <c r="L67" t="n">
        <v>16223</v>
      </c>
      <c r="M67" t="n">
        <v>86979</v>
      </c>
      <c r="N67" t="n">
        <v>16663</v>
      </c>
      <c r="O67" t="n">
        <v>4</v>
      </c>
      <c r="P67" t="n">
        <v>120</v>
      </c>
      <c r="Q67" t="n">
        <v>131020</v>
      </c>
      <c r="R67" t="n">
        <v>6551</v>
      </c>
      <c r="S67" t="n">
        <v>-13.41</v>
      </c>
      <c r="T67" t="n">
        <v>30.4</v>
      </c>
      <c r="U67" t="n">
        <v>454247</v>
      </c>
    </row>
    <row r="68">
      <c r="A68" t="inlineStr">
        <is>
          <t>2026-05</t>
        </is>
      </c>
      <c r="B68" t="inlineStr">
        <is>
          <t>T5/2026</t>
        </is>
      </c>
      <c r="C68" t="inlineStr">
        <is>
          <t>29/05/2026</t>
        </is>
      </c>
      <c r="D68" t="n">
        <v>51952</v>
      </c>
      <c r="E68" t="n">
        <v>29</v>
      </c>
      <c r="F68" t="n">
        <v>4999</v>
      </c>
      <c r="G68" t="n">
        <v>4</v>
      </c>
      <c r="H68" t="n">
        <v>56951</v>
      </c>
      <c r="I68" t="n">
        <v>25</v>
      </c>
      <c r="J68" t="n">
        <v>-18</v>
      </c>
      <c r="K68" t="n">
        <v>122708</v>
      </c>
      <c r="L68" t="n">
        <v>21222</v>
      </c>
      <c r="M68" t="n">
        <v>143930</v>
      </c>
      <c r="N68" t="n">
        <v>19780</v>
      </c>
      <c r="O68" t="n">
        <v>2</v>
      </c>
      <c r="P68" t="n">
        <v>125</v>
      </c>
      <c r="Q68" t="n">
        <v>120129</v>
      </c>
      <c r="R68" t="n">
        <v>6006</v>
      </c>
      <c r="S68" t="n">
        <v>-8.31</v>
      </c>
      <c r="T68" t="n">
        <v>7.8</v>
      </c>
      <c r="U68" t="n">
        <v>574376</v>
      </c>
    </row>
    <row r="69">
      <c r="A69" t="inlineStr">
        <is>
          <t>2026-06</t>
        </is>
      </c>
      <c r="B69" t="inlineStr">
        <is>
          <t>T6/2026</t>
        </is>
      </c>
      <c r="C69" t="inlineStr">
        <is>
          <t>30/06/2026</t>
        </is>
      </c>
      <c r="D69" t="n">
        <v>40376</v>
      </c>
      <c r="E69" t="n">
        <v>39</v>
      </c>
      <c r="F69" t="n">
        <v>3500</v>
      </c>
      <c r="G69" t="n">
        <v>2</v>
      </c>
      <c r="H69" t="n">
        <v>43876</v>
      </c>
      <c r="I69" t="n">
        <v>-23</v>
      </c>
      <c r="J69" t="n">
        <v>-65</v>
      </c>
      <c r="K69" t="n">
        <v>163084</v>
      </c>
      <c r="L69" t="n">
        <v>24722</v>
      </c>
      <c r="M69" t="n">
        <v>187806</v>
      </c>
      <c r="N69" t="n">
        <v>58397</v>
      </c>
      <c r="O69" t="n">
        <v>2</v>
      </c>
      <c r="P69" t="n">
        <v>3000</v>
      </c>
      <c r="Q69" t="n">
        <v>168576</v>
      </c>
      <c r="R69" t="n">
        <v>7662</v>
      </c>
      <c r="S69" t="n">
        <v>40.33</v>
      </c>
      <c r="T69" t="n">
        <v>28.7</v>
      </c>
      <c r="U69" t="n">
        <v>742952</v>
      </c>
    </row>
    <row r="70"/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Thang</t>
        </is>
      </c>
      <c r="B1" s="14" t="inlineStr">
        <is>
          <t>PH Rieng le</t>
        </is>
      </c>
      <c r="C1" s="14" t="inlineStr">
        <is>
          <t>PH Cong chung</t>
        </is>
      </c>
      <c r="D1" s="14" t="inlineStr">
        <is>
          <t>PH Tong TPDN</t>
        </is>
      </c>
      <c r="E1" s="14" t="inlineStr">
        <is>
          <t>GTGD thu cap</t>
        </is>
      </c>
    </row>
    <row r="2">
      <c r="A2" t="inlineStr">
        <is>
          <t>2021-01</t>
        </is>
      </c>
      <c r="B2" t="n">
        <v>6416</v>
      </c>
      <c r="C2" t="n">
        <v>1610</v>
      </c>
      <c r="D2" t="n">
        <v>4300</v>
      </c>
    </row>
    <row r="3">
      <c r="A3" t="inlineStr">
        <is>
          <t>2021-02</t>
        </is>
      </c>
      <c r="B3" t="n">
        <v>1040</v>
      </c>
      <c r="C3" t="n">
        <v>1515</v>
      </c>
      <c r="D3" t="n">
        <v>2165</v>
      </c>
    </row>
    <row r="4">
      <c r="A4" t="inlineStr">
        <is>
          <t>2021-03</t>
        </is>
      </c>
      <c r="B4" t="n">
        <v>5175</v>
      </c>
      <c r="C4" t="n">
        <v>2860</v>
      </c>
      <c r="D4" t="n">
        <v>17023</v>
      </c>
      <c r="E4" t="n">
        <v>91120</v>
      </c>
    </row>
    <row r="5">
      <c r="A5" t="inlineStr">
        <is>
          <t>2021-04</t>
        </is>
      </c>
      <c r="B5" t="n">
        <v>29579.6</v>
      </c>
      <c r="C5" t="n">
        <v>0</v>
      </c>
      <c r="D5" t="n">
        <v>19227</v>
      </c>
      <c r="E5" t="n">
        <v>68406</v>
      </c>
    </row>
    <row r="6">
      <c r="A6" t="inlineStr">
        <is>
          <t>2021-05</t>
        </is>
      </c>
      <c r="B6" t="n">
        <v>28410</v>
      </c>
      <c r="C6" t="n">
        <v>500</v>
      </c>
      <c r="D6" t="n">
        <v>29845</v>
      </c>
      <c r="E6" t="n">
        <v>97581</v>
      </c>
    </row>
    <row r="7">
      <c r="A7" t="inlineStr">
        <is>
          <t>2021-06</t>
        </is>
      </c>
      <c r="B7" t="n">
        <v>52274</v>
      </c>
      <c r="C7" t="n">
        <v>1500</v>
      </c>
      <c r="D7" t="n">
        <v>75265</v>
      </c>
      <c r="E7" t="n">
        <v>99467</v>
      </c>
    </row>
    <row r="8">
      <c r="A8" t="inlineStr">
        <is>
          <t>2021-07</t>
        </is>
      </c>
      <c r="B8" t="n">
        <v>38905</v>
      </c>
      <c r="C8" t="n">
        <v>0</v>
      </c>
      <c r="D8" t="n">
        <v>40937</v>
      </c>
      <c r="E8" t="n">
        <v>84406</v>
      </c>
    </row>
    <row r="9">
      <c r="A9" t="inlineStr">
        <is>
          <t>2021-08</t>
        </is>
      </c>
      <c r="B9" t="n">
        <v>24077</v>
      </c>
      <c r="C9" t="n">
        <v>2000</v>
      </c>
      <c r="D9" t="n">
        <v>61474</v>
      </c>
      <c r="E9" t="n">
        <v>72740</v>
      </c>
    </row>
    <row r="10">
      <c r="A10" t="inlineStr">
        <is>
          <t>2021-09</t>
        </is>
      </c>
      <c r="B10" t="n">
        <v>29734</v>
      </c>
      <c r="C10" t="n">
        <v>0</v>
      </c>
      <c r="D10" t="n">
        <v>56233</v>
      </c>
      <c r="E10" t="n">
        <v>87768</v>
      </c>
    </row>
    <row r="11">
      <c r="A11" t="inlineStr">
        <is>
          <t>2021-10</t>
        </is>
      </c>
      <c r="B11" t="n">
        <v>35319</v>
      </c>
      <c r="C11" t="n">
        <v>3966</v>
      </c>
      <c r="D11" t="n">
        <v>39065</v>
      </c>
      <c r="E11" t="n">
        <v>121223</v>
      </c>
    </row>
    <row r="12">
      <c r="A12" t="inlineStr">
        <is>
          <t>2021-11</t>
        </is>
      </c>
      <c r="B12" t="n">
        <v>18276</v>
      </c>
      <c r="C12" t="n">
        <v>2090</v>
      </c>
      <c r="D12" t="n">
        <v>35423</v>
      </c>
      <c r="E12" t="n">
        <v>95357</v>
      </c>
    </row>
    <row r="13">
      <c r="A13" t="inlineStr">
        <is>
          <t>2021-12</t>
        </is>
      </c>
      <c r="B13" t="n">
        <v>65757</v>
      </c>
      <c r="C13" t="n">
        <v>0</v>
      </c>
      <c r="D13" t="n">
        <v>79928</v>
      </c>
      <c r="E13" t="n">
        <v>131786</v>
      </c>
    </row>
    <row r="14">
      <c r="A14" t="inlineStr">
        <is>
          <t>2022-01</t>
        </is>
      </c>
      <c r="B14" t="n">
        <v>19500</v>
      </c>
      <c r="C14" t="n">
        <v>5009</v>
      </c>
      <c r="D14" t="n">
        <v>5554</v>
      </c>
      <c r="E14" t="n">
        <v>80128</v>
      </c>
    </row>
    <row r="15">
      <c r="A15" t="inlineStr">
        <is>
          <t>2022-02</t>
        </is>
      </c>
      <c r="B15" t="n">
        <v>1300</v>
      </c>
      <c r="C15" t="n">
        <v>500</v>
      </c>
      <c r="D15" t="n">
        <v>2351</v>
      </c>
      <c r="E15" t="n">
        <v>73491</v>
      </c>
    </row>
    <row r="16">
      <c r="A16" t="inlineStr">
        <is>
          <t>2022-03</t>
        </is>
      </c>
      <c r="B16" t="n">
        <v>26844</v>
      </c>
      <c r="C16" t="n">
        <v>1491</v>
      </c>
      <c r="D16" t="n">
        <v>17199</v>
      </c>
      <c r="E16" t="n">
        <v>120858</v>
      </c>
    </row>
    <row r="17">
      <c r="A17" t="inlineStr">
        <is>
          <t>2022-04</t>
        </is>
      </c>
      <c r="B17" t="n">
        <v>29262</v>
      </c>
      <c r="C17" t="n">
        <v>0</v>
      </c>
      <c r="D17" t="n">
        <v>48811</v>
      </c>
      <c r="E17" t="n">
        <v>100470</v>
      </c>
    </row>
    <row r="18">
      <c r="A18" t="inlineStr">
        <is>
          <t>2022-05</t>
        </is>
      </c>
      <c r="B18" t="n">
        <v>39977</v>
      </c>
      <c r="C18" t="n">
        <v>300</v>
      </c>
      <c r="D18" t="n">
        <v>69171</v>
      </c>
      <c r="E18" t="n">
        <v>111260</v>
      </c>
    </row>
    <row r="19">
      <c r="A19" t="inlineStr">
        <is>
          <t>2022-06</t>
        </is>
      </c>
      <c r="B19" t="n">
        <v>43593</v>
      </c>
      <c r="C19" t="n">
        <v>0</v>
      </c>
      <c r="D19" t="n">
        <v>125482</v>
      </c>
      <c r="E19" t="n">
        <v>129040</v>
      </c>
    </row>
    <row r="20">
      <c r="A20" t="inlineStr">
        <is>
          <t>2022-07</t>
        </is>
      </c>
      <c r="B20" t="n">
        <v>26195</v>
      </c>
      <c r="C20" t="n">
        <v>0</v>
      </c>
      <c r="D20" t="n">
        <v>45253</v>
      </c>
      <c r="E20" t="n">
        <v>132027</v>
      </c>
    </row>
    <row r="21">
      <c r="A21" t="inlineStr">
        <is>
          <t>2022-08</t>
        </is>
      </c>
      <c r="B21" t="n">
        <v>21419</v>
      </c>
      <c r="C21" t="n">
        <v>1268</v>
      </c>
      <c r="D21" t="n">
        <v>60362</v>
      </c>
      <c r="E21" t="n">
        <v>109288</v>
      </c>
    </row>
    <row r="22">
      <c r="A22" t="inlineStr">
        <is>
          <t>2022-09</t>
        </is>
      </c>
      <c r="B22" t="n">
        <v>17540</v>
      </c>
      <c r="C22" t="n">
        <v>335</v>
      </c>
      <c r="D22" t="n">
        <v>50569</v>
      </c>
      <c r="E22" t="n">
        <v>150766</v>
      </c>
    </row>
    <row r="23">
      <c r="A23" t="inlineStr">
        <is>
          <t>2022-10</t>
        </is>
      </c>
      <c r="B23" t="n">
        <v>335</v>
      </c>
      <c r="C23" t="n">
        <v>0</v>
      </c>
      <c r="D23" t="n">
        <v>66902</v>
      </c>
      <c r="E23" t="n">
        <v>101755</v>
      </c>
    </row>
    <row r="24">
      <c r="A24" t="inlineStr">
        <is>
          <t>2022-11</t>
        </is>
      </c>
      <c r="B24" t="n">
        <v>2077</v>
      </c>
      <c r="C24" t="n">
        <v>0</v>
      </c>
      <c r="D24" t="n">
        <v>35243</v>
      </c>
      <c r="E24" t="n">
        <v>110470</v>
      </c>
    </row>
    <row r="25">
      <c r="A25" t="inlineStr">
        <is>
          <t>2022-12</t>
        </is>
      </c>
      <c r="B25" t="n">
        <v>10638</v>
      </c>
      <c r="C25" t="n">
        <v>10638</v>
      </c>
      <c r="D25" t="n">
        <v>100914</v>
      </c>
      <c r="E25" t="n">
        <v>176770</v>
      </c>
    </row>
    <row r="26">
      <c r="A26" t="inlineStr">
        <is>
          <t>2023-01</t>
        </is>
      </c>
      <c r="B26" t="n">
        <v>110</v>
      </c>
      <c r="C26" t="n">
        <v>21</v>
      </c>
      <c r="D26" t="n">
        <v>5001</v>
      </c>
      <c r="E26" t="n">
        <v>108730</v>
      </c>
    </row>
    <row r="27">
      <c r="A27" t="inlineStr">
        <is>
          <t>2023-02</t>
        </is>
      </c>
      <c r="B27" t="n">
        <v>500</v>
      </c>
      <c r="C27" t="n">
        <v>1500</v>
      </c>
      <c r="D27" t="n">
        <v>3381</v>
      </c>
      <c r="E27" t="n">
        <v>63184</v>
      </c>
    </row>
    <row r="28">
      <c r="A28" t="inlineStr">
        <is>
          <t>2023-03</t>
        </is>
      </c>
      <c r="B28" t="n">
        <v>24425</v>
      </c>
      <c r="C28" t="n">
        <v>2000</v>
      </c>
      <c r="D28" t="n">
        <v>33147</v>
      </c>
      <c r="E28" t="n">
        <v>151283</v>
      </c>
    </row>
    <row r="29">
      <c r="A29" t="inlineStr">
        <is>
          <t>2023-04</t>
        </is>
      </c>
      <c r="B29" t="n">
        <v>671</v>
      </c>
      <c r="C29" t="n">
        <v>2000</v>
      </c>
      <c r="D29" t="n">
        <v>45450</v>
      </c>
      <c r="E29" t="n">
        <v>131020</v>
      </c>
    </row>
    <row r="30">
      <c r="A30" t="inlineStr">
        <is>
          <t>2023-05</t>
        </is>
      </c>
      <c r="B30" t="n">
        <v>2600</v>
      </c>
      <c r="C30" t="n">
        <v>0</v>
      </c>
      <c r="D30" t="n">
        <v>56951</v>
      </c>
      <c r="E30" t="n">
        <v>120129</v>
      </c>
    </row>
    <row r="31">
      <c r="A31" t="inlineStr">
        <is>
          <t>2023-06</t>
        </is>
      </c>
      <c r="B31" t="n">
        <v>8170</v>
      </c>
      <c r="C31" t="n">
        <v>0</v>
      </c>
      <c r="D31" t="n">
        <v>43876</v>
      </c>
      <c r="E31" t="n">
        <v>168576</v>
      </c>
    </row>
    <row r="32">
      <c r="A32" t="inlineStr">
        <is>
          <t>2023-07</t>
        </is>
      </c>
      <c r="B32" t="n">
        <v>33135</v>
      </c>
      <c r="C32" t="n">
        <v>7500</v>
      </c>
    </row>
    <row r="33">
      <c r="A33" t="inlineStr">
        <is>
          <t>2023-08</t>
        </is>
      </c>
      <c r="B33" t="n">
        <v>32791</v>
      </c>
      <c r="C33" t="n">
        <v>1813</v>
      </c>
    </row>
    <row r="34">
      <c r="A34" t="inlineStr">
        <is>
          <t>2023-09</t>
        </is>
      </c>
      <c r="B34" t="n">
        <v>37509</v>
      </c>
      <c r="C34" t="n">
        <v>3344</v>
      </c>
    </row>
    <row r="35">
      <c r="A35" t="inlineStr">
        <is>
          <t>2023-10</t>
        </is>
      </c>
      <c r="B35" t="n">
        <v>28056</v>
      </c>
      <c r="C35" t="n">
        <v>3092</v>
      </c>
    </row>
    <row r="36">
      <c r="A36" t="inlineStr">
        <is>
          <t>2023-11</t>
        </is>
      </c>
      <c r="B36" t="n">
        <v>35965</v>
      </c>
      <c r="C36" t="n">
        <v>10000</v>
      </c>
    </row>
    <row r="37">
      <c r="A37" t="inlineStr">
        <is>
          <t>2023-12</t>
        </is>
      </c>
      <c r="B37" t="n">
        <v>66980</v>
      </c>
      <c r="C37" t="n">
        <v>2813</v>
      </c>
    </row>
    <row r="38">
      <c r="A38" t="inlineStr">
        <is>
          <t>2024-01</t>
        </is>
      </c>
      <c r="B38" t="n">
        <v>1650</v>
      </c>
      <c r="C38" t="n">
        <v>2650</v>
      </c>
    </row>
    <row r="39">
      <c r="A39" t="inlineStr">
        <is>
          <t>2024-02</t>
        </is>
      </c>
      <c r="B39" t="n">
        <v>2165</v>
      </c>
      <c r="C39" t="n">
        <v>0</v>
      </c>
    </row>
    <row r="40">
      <c r="A40" t="inlineStr">
        <is>
          <t>2024-03</t>
        </is>
      </c>
      <c r="B40" t="n">
        <v>10795</v>
      </c>
      <c r="C40" t="n">
        <v>6228</v>
      </c>
    </row>
    <row r="41">
      <c r="A41" t="inlineStr">
        <is>
          <t>2024-04</t>
        </is>
      </c>
      <c r="B41" t="n">
        <v>19227</v>
      </c>
      <c r="C41" t="n">
        <v>0</v>
      </c>
    </row>
    <row r="42">
      <c r="A42" t="inlineStr">
        <is>
          <t>2024-05</t>
        </is>
      </c>
      <c r="B42" t="n">
        <v>29345</v>
      </c>
      <c r="C42" t="n">
        <v>500</v>
      </c>
    </row>
    <row r="43">
      <c r="A43" t="inlineStr">
        <is>
          <t>2024-06</t>
        </is>
      </c>
      <c r="B43" t="n">
        <v>73265</v>
      </c>
      <c r="C43" t="n">
        <v>2000</v>
      </c>
    </row>
    <row r="44">
      <c r="A44" t="inlineStr">
        <is>
          <t>2024-07</t>
        </is>
      </c>
      <c r="B44" t="n">
        <v>40542</v>
      </c>
      <c r="C44" t="n">
        <v>395</v>
      </c>
    </row>
    <row r="45">
      <c r="A45" t="inlineStr">
        <is>
          <t>2024-08</t>
        </is>
      </c>
      <c r="B45" t="n">
        <v>50474</v>
      </c>
      <c r="C45" t="n">
        <v>11000</v>
      </c>
    </row>
    <row r="46">
      <c r="A46" t="inlineStr">
        <is>
          <t>2024-09</t>
        </is>
      </c>
      <c r="B46" t="n">
        <v>54764</v>
      </c>
      <c r="C46" t="n">
        <v>1469</v>
      </c>
    </row>
    <row r="47">
      <c r="A47" t="inlineStr">
        <is>
          <t>2024-10</t>
        </is>
      </c>
      <c r="B47" t="n">
        <v>34006</v>
      </c>
      <c r="C47" t="n">
        <v>5059</v>
      </c>
    </row>
    <row r="48">
      <c r="A48" t="inlineStr">
        <is>
          <t>2024-11</t>
        </is>
      </c>
      <c r="B48" t="n">
        <v>35423</v>
      </c>
      <c r="C48" t="n">
        <v>0</v>
      </c>
    </row>
    <row r="49">
      <c r="A49" t="inlineStr">
        <is>
          <t>2024-12</t>
        </is>
      </c>
      <c r="B49" t="n">
        <v>79128</v>
      </c>
      <c r="C49" t="n">
        <v>800</v>
      </c>
    </row>
    <row r="50">
      <c r="A50" t="inlineStr">
        <is>
          <t>2025-01</t>
        </is>
      </c>
      <c r="B50" t="n">
        <v>0</v>
      </c>
      <c r="C50" t="n">
        <v>5554</v>
      </c>
    </row>
    <row r="51">
      <c r="A51" t="inlineStr">
        <is>
          <t>2025-02</t>
        </is>
      </c>
      <c r="B51" t="n">
        <v>0</v>
      </c>
      <c r="C51" t="n">
        <v>2351</v>
      </c>
    </row>
    <row r="52">
      <c r="A52" t="inlineStr">
        <is>
          <t>2025-03</t>
        </is>
      </c>
      <c r="B52" t="n">
        <v>2000</v>
      </c>
      <c r="C52" t="n">
        <v>15199</v>
      </c>
    </row>
    <row r="53">
      <c r="A53" t="inlineStr">
        <is>
          <t>2025-04</t>
        </is>
      </c>
      <c r="B53" t="n">
        <v>44011</v>
      </c>
      <c r="C53" t="n">
        <v>4800</v>
      </c>
    </row>
    <row r="54">
      <c r="A54" t="inlineStr">
        <is>
          <t>2025-05</t>
        </is>
      </c>
      <c r="B54" t="n">
        <v>69171</v>
      </c>
      <c r="C54" t="n">
        <v>0</v>
      </c>
    </row>
    <row r="55">
      <c r="A55" t="inlineStr">
        <is>
          <t>2025-06</t>
        </is>
      </c>
      <c r="B55" t="n">
        <v>125482</v>
      </c>
      <c r="C55" t="n">
        <v>0</v>
      </c>
    </row>
    <row r="56">
      <c r="A56" t="inlineStr">
        <is>
          <t>2025-07</t>
        </is>
      </c>
      <c r="B56" t="n">
        <v>31704</v>
      </c>
      <c r="C56" t="n">
        <v>13549</v>
      </c>
    </row>
    <row r="57">
      <c r="A57" t="inlineStr">
        <is>
          <t>2025-08</t>
        </is>
      </c>
      <c r="B57" t="n">
        <v>54030</v>
      </c>
      <c r="C57" t="n">
        <v>6332</v>
      </c>
    </row>
    <row r="58">
      <c r="A58" t="inlineStr">
        <is>
          <t>2025-09</t>
        </is>
      </c>
      <c r="B58" t="n">
        <v>50070</v>
      </c>
      <c r="C58" t="n">
        <v>499</v>
      </c>
    </row>
    <row r="59">
      <c r="A59" t="inlineStr">
        <is>
          <t>2025-10</t>
        </is>
      </c>
      <c r="B59" t="n">
        <v>64602</v>
      </c>
      <c r="C59" t="n">
        <v>2299</v>
      </c>
    </row>
    <row r="60">
      <c r="A60" t="inlineStr">
        <is>
          <t>2025-11</t>
        </is>
      </c>
      <c r="B60" t="n">
        <v>35243</v>
      </c>
      <c r="C60" t="n">
        <v>0</v>
      </c>
    </row>
    <row r="61">
      <c r="A61" t="inlineStr">
        <is>
          <t>2025-12</t>
        </is>
      </c>
      <c r="B61" t="n">
        <v>96143</v>
      </c>
      <c r="C61" t="n">
        <v>4771</v>
      </c>
    </row>
    <row r="62">
      <c r="A62" t="inlineStr">
        <is>
          <t>2026-01</t>
        </is>
      </c>
      <c r="B62" t="n">
        <v>190</v>
      </c>
      <c r="C62" t="n">
        <v>4811</v>
      </c>
    </row>
    <row r="63">
      <c r="A63" t="inlineStr">
        <is>
          <t>2026-02</t>
        </is>
      </c>
      <c r="B63" t="n">
        <v>80</v>
      </c>
      <c r="C63" t="n">
        <v>3301</v>
      </c>
    </row>
    <row r="64">
      <c r="A64" t="inlineStr">
        <is>
          <t>2026-03</t>
        </is>
      </c>
      <c r="B64" t="n">
        <v>27036</v>
      </c>
      <c r="C64" t="n">
        <v>6111</v>
      </c>
    </row>
    <row r="65">
      <c r="A65" t="inlineStr">
        <is>
          <t>2026-04</t>
        </is>
      </c>
      <c r="B65" t="n">
        <v>43450</v>
      </c>
      <c r="C65" t="n">
        <v>2000</v>
      </c>
    </row>
    <row r="66">
      <c r="A66" t="inlineStr">
        <is>
          <t>2026-05</t>
        </is>
      </c>
      <c r="B66" t="n">
        <v>51952</v>
      </c>
      <c r="C66" t="n">
        <v>4999</v>
      </c>
    </row>
    <row r="67">
      <c r="A67" t="inlineStr">
        <is>
          <t>2026-06</t>
        </is>
      </c>
      <c r="B67" t="n">
        <v>40376</v>
      </c>
      <c r="C67" t="n">
        <v>3500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TONG HOP DU LIEU TRAI PHIEU DOANH NGHIEP (TPDN) TU BAO CAO THANG VBMA</t>
        </is>
      </c>
    </row>
    <row r="2">
      <c r="A2" s="16" t="inlineStr"/>
    </row>
    <row r="3">
      <c r="A3" s="16" t="inlineStr">
        <is>
          <t>Nguon: Hiep hoi Thi truong Trai phieu Viet Nam (VBMA) - https://vbma.org.vn/vi/reports/monthly</t>
        </is>
      </c>
    </row>
    <row r="4">
      <c r="A4" s="16" t="inlineStr">
        <is>
          <t>Pham vi: 66 thang, T1/2021 - T6/2026 (67 bao cao thang VBMA; 36 thang 2021-2023 bo sung 16/07/2026).</t>
        </is>
      </c>
    </row>
    <row r="5">
      <c r="A5" s="16" t="inlineStr">
        <is>
          <t>VBMA tong hop tu HNX va SSC. Don vi gia tri: ty dong (VND).</t>
        </is>
      </c>
    </row>
    <row r="6">
      <c r="A6" s="16" t="inlineStr"/>
    </row>
    <row r="7">
      <c r="A7" s="17" t="inlineStr">
        <is>
          <t>VI TRI DU LIEU TRONG MOI BAO CAO PDF:</t>
        </is>
      </c>
    </row>
    <row r="8">
      <c r="A8" s="16" t="inlineStr">
        <is>
          <t>- Phu luc 1 (Thi truong so cap, thu cap TPCP va TPDN): gia tri PH Rieng le / Cong chung / Tong,</t>
        </is>
      </c>
    </row>
    <row r="9">
      <c r="A9" s="16" t="inlineStr">
        <is>
          <t xml:space="preserve">  %MoM, %YoY, luy ke YTD, va gia tri giao dich thu cap TPDN.</t>
        </is>
      </c>
    </row>
    <row r="10">
      <c r="A10" s="16" t="inlineStr">
        <is>
          <t>- Trang 'Trai phieu doanh nghiep': so dot phat hanh, gia tri mua lai truoc han,</t>
        </is>
      </c>
    </row>
    <row r="11">
      <c r="A11" s="16" t="inlineStr">
        <is>
          <t xml:space="preserve">  so ma cham tra goc/lai, binh quan giao dich/phien.</t>
        </is>
      </c>
    </row>
    <row r="12">
      <c r="A12" s="16" t="inlineStr"/>
    </row>
    <row r="13">
      <c r="A13" s="17" t="inlineStr">
        <is>
          <t>GIAI THICH COT:</t>
        </is>
      </c>
    </row>
    <row r="14">
      <c r="A14" s="16" t="inlineStr">
        <is>
          <t>PH Rieng le / Cong chung / Tong = gia tri phat hanh trong thang (rieng le = private placement,</t>
        </is>
      </c>
    </row>
    <row r="15">
      <c r="A15" s="16" t="inlineStr">
        <is>
          <t xml:space="preserve">   cong chung = phat hanh ra cong chung / niem yet).</t>
        </is>
      </c>
    </row>
    <row r="16">
      <c r="A16" s="16" t="inlineStr">
        <is>
          <t>Luy ke = gia tri phat hanh cong don tu dau nam (YTD), tinh theo so DA DIEU CHINH (xem ben duoi).</t>
        </is>
      </c>
    </row>
    <row r="17">
      <c r="A17" s="16" t="inlineStr">
        <is>
          <t>Mua lai truoc han = gia tri TPDN doanh nghiep mua lai truoc han trong thang.</t>
        </is>
      </c>
    </row>
    <row r="18">
      <c r="A18" s="16" t="inlineStr">
        <is>
          <t>So ma cham tra / Goc cham tra = so ma va gia tri goc TP cham tra lai/goc cong bo trong thang.</t>
        </is>
      </c>
    </row>
    <row r="19">
      <c r="A19" s="16" t="inlineStr">
        <is>
          <t>GTGD thu cap = tong gia tri giao dich TPDN rieng le tren HNX trong thang.</t>
        </is>
      </c>
    </row>
    <row r="20">
      <c r="A20" s="16" t="inlineStr">
        <is>
          <t>BQ/phien = binh quan gia tri giao dich moi phien.</t>
        </is>
      </c>
    </row>
    <row r="21">
      <c r="A21" s="16" t="inlineStr"/>
    </row>
    <row r="22">
      <c r="A22" s="17" t="inlineStr">
        <is>
          <t>PHUONG PHAP: SO DA DIEU CHINH (RESTATED) THEO BAO CAO MOI NHAT</t>
        </is>
      </c>
    </row>
    <row r="23">
      <c r="A23" s="16" t="inlineStr">
        <is>
          <t>Gia tri phat hanh moi thang lay theo so cong bo o BAO CAO THANG KE TIEP (cot 'thang truoc' trong Phu luc 1),</t>
        </is>
      </c>
    </row>
    <row r="24">
      <c r="A24" s="16" t="inlineStr">
        <is>
          <t>do TPDN rieng le thuong duoc cong bo tre tren HNX sau ngay chot so lieu (thuong dieu chinh TANG).</t>
        </is>
      </c>
    </row>
    <row r="25">
      <c r="A25" s="16" t="inlineStr">
        <is>
          <t>Rieng T6/2026 giu 'nhu cong bo lan dau' vi chua co bao cao ke tiep de doi chieu.</t>
        </is>
      </c>
    </row>
    <row r="26">
      <c r="A26" s="16" t="inlineStr">
        <is>
          <t>%MoM, %YoY va Luy ke deu tinh lai tu chuoi da dieu chinh.</t>
        </is>
      </c>
    </row>
    <row r="27">
      <c r="A27" s="16" t="inlineStr">
        <is>
          <t>Kiem chung: tong PH nam 2025 (da dieu chinh) = 627,810 ty, trung so 2025 trong bao cao T6/2026</t>
        </is>
      </c>
    </row>
    <row r="28">
      <c r="A28" s="16" t="inlineStr">
        <is>
          <t>(so 'nhu cong bo lan dau' cua T12/2025 chi la 589,334 ty).</t>
        </is>
      </c>
    </row>
    <row r="29">
      <c r="A29" t="inlineStr">
        <is>
          <t>Vi du: T5/2026 Tong PH: 40,262 (BC T5) -&gt; 56,951 (BC T6). T3/2026 RL: 11,616 (BC T3) -&gt; 27,036 (BC T4).</t>
        </is>
      </c>
    </row>
    <row r="30"/>
    <row r="31">
      <c r="A31" t="inlineStr">
        <is>
          <t>MO RONG QUA KHU (T1/2024 - T6/2025) - cao ngay 16/07/2026:</t>
        </is>
      </c>
    </row>
    <row r="32">
      <c r="A32" t="inlineStr">
        <is>
          <t>- 18 thang nay bo sung tu 19 bao cao VBMA (T1/2024..T7/2025), cung phuong phap restated.</t>
        </is>
      </c>
    </row>
    <row r="33">
      <c r="A33" t="inlineStr">
        <is>
          <t>- Kiem chung: luy ke 6T2025 = RL 240,664 / CC 27,904 / Tong 268,568 (khop moc VBMA).</t>
        </is>
      </c>
    </row>
    <row r="34">
      <c r="A34" t="inlineStr">
        <is>
          <t xml:space="preserve">  Noi lien mach vao T7/2025: 240,664+31,704=272,368 (lk RL dong T7/2025).</t>
        </is>
      </c>
    </row>
    <row r="35">
      <c r="A35" t="inlineStr">
        <is>
          <t>- GTGD thu cap &amp; BQ/phien: VBMA chua bao cao TPDN thu cap dau 2024 nen T1-T2/2024 de trong;</t>
        </is>
      </c>
    </row>
    <row r="36">
      <c r="A36" t="inlineStr">
        <is>
          <t xml:space="preserve">  T3-T4/2024 co GTGD nhung chua co BQ/phien. Luy ke GTGD 2024 de trong (thieu T1-T2).</t>
        </is>
      </c>
    </row>
    <row r="37">
      <c r="A37" t="inlineStr">
        <is>
          <t>- %YoY Tong cac thang 2024 de trong (thieu goc 2023 ngoai pham vi cao).</t>
        </is>
      </c>
    </row>
    <row r="38">
      <c r="A38" t="inlineStr">
        <is>
          <t>- 'Goc cham tra' = gia tri cham tra cong bo trong thang (lai va/hoac goc tuy cach bao cao neu).</t>
        </is>
      </c>
    </row>
    <row r="39">
      <c r="A39" t="inlineStr">
        <is>
          <t>- Cac dong T7/2025 tro di GIU NGUYEN nhu ban goc (khong tinh lai).</t>
        </is>
      </c>
    </row>
    <row r="40"/>
    <row r="41">
      <c r="A41" t="inlineStr">
        <is>
          <t>PHUONG PHAP THEO THOI KY (bo sung 16/07/2026):</t>
        </is>
      </c>
    </row>
    <row r="42">
      <c r="A42" t="inlineStr">
        <is>
          <t>- 2021: bao cao VBMA chua co Phu luc 1 TPDN -&gt; so CONG BO LAN DAU (trang TPDN bao cao thang do).</t>
        </is>
      </c>
    </row>
    <row r="43">
      <c r="A43" t="inlineStr">
        <is>
          <t>- 2022: so DINH CHINH lay tu cot 'cung ky nam truoc' Phu luc 1 bao cao 2023 (M+12).</t>
        </is>
      </c>
    </row>
    <row r="44">
      <c r="A44" t="inlineStr">
        <is>
          <t xml:space="preserve">  Rieng T1-T2/2022 khong co so dinh chinh -&gt; cong bo lan dau. T5/2022 dung chenh luy ke.</t>
        </is>
      </c>
    </row>
    <row r="45">
      <c r="A45" t="inlineStr">
        <is>
          <t>- 2023 tro di: so DINH CHINH chuan M+1 (cot 'thang truoc' Phu luc 1 bao cao ke tiep).</t>
        </is>
      </c>
    </row>
    <row r="46">
      <c r="A46" t="inlineStr">
        <is>
          <t>- Mua lai: co so thang tu T1/2023 (2022 chi co luy ke nam = 210,830 ty). Cham tra: tu T10/2023.</t>
        </is>
      </c>
    </row>
    <row r="47">
      <c r="A47" t="inlineStr">
        <is>
          <t>- GTGD thu cap TPDN rieng le: VBMA dua vao bao cao tu T3/2024 -&gt; 2021-2023 de trong.</t>
        </is>
      </c>
    </row>
    <row r="48">
      <c r="A48" t="inlineStr">
        <is>
          <t>- Moc kiem chung (PL1 bao cao T12/2023): 2022 RL 249,075/CC 21,237; 2023 RL 274,170/CC 37,070.</t>
        </is>
      </c>
    </row>
    <row r="49">
      <c r="A49" t="inlineStr">
        <is>
          <t xml:space="preserve">  Tong 12 thang cua chuoi thap hon moc nam do CBTT muon (dac diem du lieu, khong phai loi).</t>
        </is>
      </c>
    </row>
    <row r="50">
      <c r="A50" t="inlineStr">
        <is>
          <t>- %YoY chi tinh tu 2023-03 (ca 2 nam deu la so dinh chinh); %MoM bo qua khi thang truoc &lt;500 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2026-07-15T06:09:57Z</dcterms:created>
  <dcterms:modified xsi:type="dcterms:W3CDTF">2026-07-16T09:31:25Z</dcterms:modified>
</cp:coreProperties>
</file>